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PETUNJUK" sheetId="1" r:id="rId5"/>
    <sheet state="visible" name="01_MODAL_BARANG" sheetId="2" r:id="rId6"/>
    <sheet state="visible" name="02_MODAL_UANG" sheetId="3" r:id="rId7"/>
    <sheet state="visible" name="03_PIUTANG_HUTANG" sheetId="4" r:id="rId8"/>
    <sheet state="visible" name="04_NERACA_AWAL" sheetId="5" r:id="rId9"/>
    <sheet state="visible" name="05_BIAYA_BEP" sheetId="6" r:id="rId10"/>
    <sheet state="visible" name="06_ATURAN_SISTEM" sheetId="7" r:id="rId11"/>
    <sheet state="visible" name="07_LOG_KEPUTUSAN" sheetId="8" r:id="rId12"/>
  </sheets>
  <definedNames/>
  <calcPr/>
</workbook>
</file>

<file path=xl/sharedStrings.xml><?xml version="1.0" encoding="utf-8"?>
<sst xmlns="http://schemas.openxmlformats.org/spreadsheetml/2006/main" count="353" uniqueCount="240">
  <si>
    <t>FORMULIR RESET PROSES BISNIS — TOKO SEMBAKO SEJAHTERA</t>
  </si>
  <si>
    <t>01 — OPNAME MODAL BARANG (per 31 Juli 2026)</t>
  </si>
  <si>
    <t>Tanggal Cut-Off Reset</t>
  </si>
  <si>
    <t>31 Juli 2026</t>
  </si>
  <si>
    <t>Hitung FISIK, bukan angka sistem. Kalau beda dengan sistem, tulis selisihnya di kolom Catatan.</t>
  </si>
  <si>
    <t>Entitas</t>
  </si>
  <si>
    <t>Toko Sembako Sejahtera (unit CV Sederhana Maju Jaya)</t>
  </si>
  <si>
    <t>Diisi oleh</t>
  </si>
  <si>
    <t>No</t>
  </si>
  <si>
    <t>Aditya Ikhsan Nurjaman, S.H.</t>
  </si>
  <si>
    <t>Kategori</t>
  </si>
  <si>
    <t>Disaksikan oleh</t>
  </si>
  <si>
    <t>Ibu dan Ayu</t>
  </si>
  <si>
    <t>Nama Barang / SKU</t>
  </si>
  <si>
    <t>CARA PAKAI</t>
  </si>
  <si>
    <t>Satuan</t>
  </si>
  <si>
    <t>03 — PIUTANG &amp; HUTANG (per 31 Juli 2026)</t>
  </si>
  <si>
    <t>Qty Fisik</t>
  </si>
  <si>
    <t>Sel berwarna BIRU = kolom yang kamu isi.</t>
  </si>
  <si>
    <t>Sel HITAM = rumus otomatis, jangan diubah.</t>
  </si>
  <si>
    <t>Harga Beli / Satuan</t>
  </si>
  <si>
    <t>Baris CONTOH (abu-abu miring) hanya panduan format — hapus setelah paham.</t>
  </si>
  <si>
    <t>Nilai (otomatis)</t>
  </si>
  <si>
    <t>02 — OPNAME MODAL UANG (per 31 Juli 2026)</t>
  </si>
  <si>
    <t>Sel HIJAU = link otomatis dari sheet lain, jangan diubah.</t>
  </si>
  <si>
    <t>Catatan (selisih vs sistem)</t>
  </si>
  <si>
    <t>Petunjuk</t>
  </si>
  <si>
    <t>URUTAN PENGISIAN (jangan diloncat)</t>
  </si>
  <si>
    <t>Hitung fisik &amp; cek saldo layar. Dana Ibu yang ada di TSS DIMASUKKAN di sini — sejak 30 Jul 2026 statusnya modal, bukan hutang. Uang pribadi murni di luar bisnis jangan dimasukkan.</t>
  </si>
  <si>
    <t>Beras</t>
  </si>
  <si>
    <t>A. UANG TUNAI</t>
  </si>
  <si>
    <t>Beras Panawuan 25KILOGRAM</t>
  </si>
  <si>
    <t>karung</t>
  </si>
  <si>
    <t>1. Sheet 01 — Hitung fisik semua stok barang. Ini modal barang.</t>
  </si>
  <si>
    <t>Bagian yang paling sering bikin modal terlihat lebih besar dari kenyataan. Hutang di sini hanya ke pihak luar — supplier, bank, pihak ketiga.</t>
  </si>
  <si>
    <t>Butuh: Ayu + Mas Warsiman</t>
  </si>
  <si>
    <t>Pos</t>
  </si>
  <si>
    <t>2. Sheet 02 — Hitung fisik semua uang: brankas, rekening, e-wallet, laci kasir.</t>
  </si>
  <si>
    <t>Keterangan / No. Rekening</t>
  </si>
  <si>
    <t>Nominal</t>
  </si>
  <si>
    <t>A. PIUTANG — uang TSS yang ada di orang lain</t>
  </si>
  <si>
    <t>Butuh: owner sendiri</t>
  </si>
  <si>
    <t>Catatan</t>
  </si>
  <si>
    <t>3. Sheet 03 — Catat semua piutang &amp; hutang ke pihak LUAR. Dana Ibu tidak masuk sini.</t>
  </si>
  <si>
    <t>Ini yang paling sering lupa</t>
  </si>
  <si>
    <t>4. Sheet 04 — Neraca awal terisi otomatis. Baca angkanya.</t>
  </si>
  <si>
    <t>Brankas toko</t>
  </si>
  <si>
    <t>Ini titik nol TSS</t>
  </si>
  <si>
    <t>5. Sheet 05 — Isi biaya tetap bulanan. Dapat angka BEP.</t>
  </si>
  <si>
    <t>6. Sheet 06 — Baca &amp; tanda tangani aturan sistem. Ini yang mencegah kebocoran terulang.</t>
  </si>
  <si>
    <t>Nama Debitur (cabang / pelanggan)</t>
  </si>
  <si>
    <t>Jenis</t>
  </si>
  <si>
    <t>7. Sheet 07 — Mulai log keputusan. Satu baris per keputusan, seumur hidup TSS.</t>
  </si>
  <si>
    <t>Jatuh Tempo</t>
  </si>
  <si>
    <t>sistem catat 14, selisih -2</t>
  </si>
  <si>
    <t>PRINSIP RESET</t>
  </si>
  <si>
    <t>Sederhana Jaya Cabang Cikajang</t>
  </si>
  <si>
    <t>&lt;-- BARIS CONTOH, hapus setelah paham</t>
  </si>
  <si>
    <t>B2B channeling</t>
  </si>
  <si>
    <t>Modal TSS = Nilai Barang + Uang Tunai/Bank − Hutang. Bukan 'uang yang ada di tangan'.</t>
  </si>
  <si>
    <t>KEPUTUSAN PEMILIK 30 Jul 2026: seluruh dana Ibu di TSS menjadi MODAL AWAL, bukan hutang.</t>
  </si>
  <si>
    <t>Disepakati Aditya &amp; Ibu</t>
  </si>
  <si>
    <t>05 Agu</t>
  </si>
  <si>
    <t>Laci kasir (modal kembalian)</t>
  </si>
  <si>
    <t>Artinya Ibu adalah pemilik modal bersama, bukan kreditur. Tidak ada kewajiban pengembalian.</t>
  </si>
  <si>
    <t>tagihan minggu ke-4 Juli</t>
  </si>
  <si>
    <t>Air</t>
  </si>
  <si>
    <t>Konsekuensi: pembagian hasil ke depan mengikuti porsi modal, bukan cicilan hutang. Porsi perlu ditetapkan.</t>
  </si>
  <si>
    <t>BELUM DITETAPKAN</t>
  </si>
  <si>
    <t>Aquviva 700Ml</t>
  </si>
  <si>
    <t>Sederhana Jaya 1 dan Dapur</t>
  </si>
  <si>
    <t>BOTOL</t>
  </si>
  <si>
    <t>Laba tidak boleh dihitung dari selisih uang di brankas. Laba = (Penjualan − HPP) − Biaya.</t>
  </si>
  <si>
    <t>Kalau tidak tercatat pada hari kejadian, anggap tidak terjadi. Catat harian, bukan mingguan.</t>
  </si>
  <si>
    <t>01 Agus</t>
  </si>
  <si>
    <t>Dompet Owner - cash</t>
  </si>
  <si>
    <t>Kas Ibu yang fisik ada di toko</t>
  </si>
  <si>
    <t>SUBTOTAL A.</t>
  </si>
  <si>
    <t>Bahan Dapur</t>
  </si>
  <si>
    <t>Bawang Putih</t>
  </si>
  <si>
    <t>KILOGRAM</t>
  </si>
  <si>
    <t>B. REKENING BANK</t>
  </si>
  <si>
    <t>Cabe Garing</t>
  </si>
  <si>
    <t>Rekening 1 (nama bank &amp; no.)</t>
  </si>
  <si>
    <t>BRI/416401003014509</t>
  </si>
  <si>
    <t>Cengek Garing</t>
  </si>
  <si>
    <t>Rekening 2</t>
  </si>
  <si>
    <t>Rekening 3</t>
  </si>
  <si>
    <t>SUBTOTAL B.</t>
  </si>
  <si>
    <t>Garam Bison</t>
  </si>
  <si>
    <t>PCS</t>
  </si>
  <si>
    <t>C. E-WALLET / QRIS</t>
  </si>
  <si>
    <t>Garam Kereta</t>
  </si>
  <si>
    <t>Saldo QRIS belum settle</t>
  </si>
  <si>
    <t>Garam Fortuna</t>
  </si>
  <si>
    <t>E-wallet 1</t>
  </si>
  <si>
    <t>DANA/085190022529</t>
  </si>
  <si>
    <t>E-wallet 2</t>
  </si>
  <si>
    <t>Micin Sobaso</t>
  </si>
  <si>
    <t>SUBTOTAL C.</t>
  </si>
  <si>
    <t>TOTAL MODAL UANG</t>
  </si>
  <si>
    <t>Muncang</t>
  </si>
  <si>
    <t>Telur</t>
  </si>
  <si>
    <t>Terigu Gatot Kaca 1KG</t>
  </si>
  <si>
    <t>POUCH</t>
  </si>
  <si>
    <t>Terigu Tulip</t>
  </si>
  <si>
    <t>04 — NERACA AWAL TSS (Titik Nol, 31 Juli 2026)</t>
  </si>
  <si>
    <t>Terisi otomatis dari Sheet 01–03. Jangan diketik manual.</t>
  </si>
  <si>
    <t>Terigu Sip</t>
  </si>
  <si>
    <t>ASET</t>
  </si>
  <si>
    <t>TOTAL PIUTANG</t>
  </si>
  <si>
    <t>Modal Barang (stok fisik)</t>
  </si>
  <si>
    <t>Terigu Segitiga Biru</t>
  </si>
  <si>
    <t>B. HUTANG — uang orang lain yang ada di TSS (dana Ibu TIDAK masuk sini, itu modal)</t>
  </si>
  <si>
    <t>Sheet 01</t>
  </si>
  <si>
    <t>Modal Uang (tunai + bank + e-wallet)</t>
  </si>
  <si>
    <t>Telur Pack Isi 10</t>
  </si>
  <si>
    <t>PACK</t>
  </si>
  <si>
    <t>Nama Kreditur (supplier / pihak luar)</t>
  </si>
  <si>
    <t>Sheet 02</t>
  </si>
  <si>
    <t>Piutang</t>
  </si>
  <si>
    <t>Supplier beras (nota belum dibayar)</t>
  </si>
  <si>
    <t>Royko Renceng</t>
  </si>
  <si>
    <t>Hutang dagang</t>
  </si>
  <si>
    <t>RENCENG</t>
  </si>
  <si>
    <t>10 Agu</t>
  </si>
  <si>
    <t>Sheet 03</t>
  </si>
  <si>
    <t>nota no. 0812</t>
  </si>
  <si>
    <t>TOTAL ASET</t>
  </si>
  <si>
    <t>Bagian</t>
  </si>
  <si>
    <t>KEWAJIBAN</t>
  </si>
  <si>
    <t>Hutang ke pihak luar (supplier, bank, pihak ketiga)</t>
  </si>
  <si>
    <t>TOTAL KEWAJIBAN</t>
  </si>
  <si>
    <t>Buleud</t>
  </si>
  <si>
    <t>MODAL BERSIH TSS</t>
  </si>
  <si>
    <t>MODAL BERSIH AWAL TSS (Ekuitas per 31 Juli 2026)</t>
  </si>
  <si>
    <t>Ketan Hitam</t>
  </si>
  <si>
    <t>ANGKA INI ADALAH TITIK NOL TSS.</t>
  </si>
  <si>
    <t>Mulai 1 Agustus 2026, laba TSS = pertumbuhan angka ini, bukan uang di brankas.</t>
  </si>
  <si>
    <t>Setiap pengambilan owner = pengurang ekuitas, dicatat sebagai Prive — bukan biaya.</t>
  </si>
  <si>
    <t>Ditandatangani:</t>
  </si>
  <si>
    <t>Super</t>
  </si>
  <si>
    <t>Owner: ______________________     Saksi: ______________________</t>
  </si>
  <si>
    <t>Merah</t>
  </si>
  <si>
    <t>Panawuan</t>
  </si>
  <si>
    <t>Sarinah</t>
  </si>
  <si>
    <t>Majalengka</t>
  </si>
  <si>
    <t>Panjang</t>
  </si>
  <si>
    <t>Singaparna</t>
  </si>
  <si>
    <t>Mawar</t>
  </si>
  <si>
    <t>Sarinah Super</t>
  </si>
  <si>
    <t>Beras Euceu</t>
  </si>
  <si>
    <t>Banyuresmi</t>
  </si>
  <si>
    <t>Gula</t>
  </si>
  <si>
    <t>Gula Merah</t>
  </si>
  <si>
    <t>05 — BIAYA TETAP BULANAN &amp; TITIK IMPAS</t>
  </si>
  <si>
    <t>Gula Putih</t>
  </si>
  <si>
    <t>Gula Ku 500</t>
  </si>
  <si>
    <t>Kerupuk</t>
  </si>
  <si>
    <t>Kerupuk Fina</t>
  </si>
  <si>
    <t>DUS</t>
  </si>
  <si>
    <t>Makanan</t>
  </si>
  <si>
    <t>Nasi Briyani Umi Pipik 250 gr</t>
  </si>
  <si>
    <t>Tanpa angka ini, kamu tidak akan pernah tahu laba sebenarnya.</t>
  </si>
  <si>
    <t>TOTAL HUTANG</t>
  </si>
  <si>
    <t>Minyak</t>
  </si>
  <si>
    <t>Minyak Kita 2L</t>
  </si>
  <si>
    <t>Pos Biaya</t>
  </si>
  <si>
    <t>Minyak Sri</t>
  </si>
  <si>
    <t>Nominal / Bulan</t>
  </si>
  <si>
    <t>06 — ATURAN SISTEM TSS (berlaku 1 Agustus 2026)</t>
  </si>
  <si>
    <t>Minyak Kunci Mas</t>
  </si>
  <si>
    <t>Gaji Ayu</t>
  </si>
  <si>
    <t>Baca satu per satu. Centang kolom SETUJU. Aturan yang tidak disetujui, coret &amp; tulis gantinya.</t>
  </si>
  <si>
    <t>Aturan</t>
  </si>
  <si>
    <t>Setuju (v)</t>
  </si>
  <si>
    <t>Revisi / Catatan</t>
  </si>
  <si>
    <t>Semua uang masuk &amp; keluar dicatat pada HARI yang sama. Tidak ada catatan susulan.</t>
  </si>
  <si>
    <t>Minyak Fortune 1L</t>
  </si>
  <si>
    <t>Setuju</t>
  </si>
  <si>
    <t>Gaji Manajer/Owner</t>
  </si>
  <si>
    <t>Minyak Resto</t>
  </si>
  <si>
    <t>Tiga dompet tetap terpisah: Kasir Toko, Dompet Owner, Kas Ibu. Tidak boleh dicampur.</t>
  </si>
  <si>
    <t>Perpindahan uang antar dompet WAJIB dicatat sebagai transfer, bukan pemasukan/pengeluaran.</t>
  </si>
  <si>
    <t>Minyak Sania 2L</t>
  </si>
  <si>
    <t>Gaji lain</t>
  </si>
  <si>
    <t>Dana Ibu di TSS adalah MODAL, bukan hutang (keputusan pemilik 30 Jul 2026). Setoran baru dari Ibu dicatat sebagai tambahan modal.</t>
  </si>
  <si>
    <t>Porsi modal Aditya vs Ibu ditetapkan tertulis, dan dipakai sebagai dasar pembagian hasil.</t>
  </si>
  <si>
    <t>Revisi</t>
  </si>
  <si>
    <t>Minyak Saudara Kita</t>
  </si>
  <si>
    <t>Pengambilan owner untuk keperluan pribadi dicatat sebagai PRIVE, bukan biaya operasional.</t>
  </si>
  <si>
    <t>Listrik &amp; air</t>
  </si>
  <si>
    <t>Owner mengambil gaji tetap bulanan dengan nominal yang ditentukan di muka.</t>
  </si>
  <si>
    <t>Minyak Promoo</t>
  </si>
  <si>
    <t>Setiap barang masuk dicatat: tanggal, supplier, qty, harga beli, nomor nota.</t>
  </si>
  <si>
    <t>Sewa tempat (kalau ada)</t>
  </si>
  <si>
    <t>Setiap barang keluar dicatat: tanggal, tujuan (cabang mana / walk-in), qty, harga jual.</t>
  </si>
  <si>
    <t>Minyak Troboss</t>
  </si>
  <si>
    <t>Pengiriman ke cabang Sederhana Jaya wajib pakai surat jalan bernomor, ditandatangani penerima.</t>
  </si>
  <si>
    <t>Transport / bensin kirim</t>
  </si>
  <si>
    <t>Piutang cabang direkap mingguan dan ditagih pada hari yang sama setiap minggu.</t>
  </si>
  <si>
    <t>Minyak Rose Brand 2l</t>
  </si>
  <si>
    <t>Stok opname fisik dilakukan minimal 1x per bulan, tanggal ditetapkan di muka.</t>
  </si>
  <si>
    <t>Pulsa &amp; internet</t>
  </si>
  <si>
    <t>Harga jual per SKU ditinjau minimal 1x per bulan terhadap harga beli terakhir.</t>
  </si>
  <si>
    <t>Minyak Kita 1L</t>
  </si>
  <si>
    <t>Tidak ada barang keluar tanpa catatan, termasuk untuk keperluan keluarga atau rumah makan.</t>
  </si>
  <si>
    <t>Perawatan kendaraan</t>
  </si>
  <si>
    <t>Setiap keputusan bisnis penting dicatat di Log Keputusan (Sheet 07) pada hari keputusan dibuat.</t>
  </si>
  <si>
    <t>Laba bulanan dihitung dari laporan, bukan dari perasaan atau isi brankas.</t>
  </si>
  <si>
    <t>Tepung</t>
  </si>
  <si>
    <t>Disepakati pada tanggal: ______________</t>
  </si>
  <si>
    <t>Owner: ______________     Ayu: ______________     Mas Warsiman: ______________</t>
  </si>
  <si>
    <t>Plastik, karung, kemasan</t>
  </si>
  <si>
    <t>Terigu Gatot Kaca 500Gr</t>
  </si>
  <si>
    <t>Susut / barang rusak (estimasi)</t>
  </si>
  <si>
    <t>Nasi Briyani Umi Pipik 500 gr</t>
  </si>
  <si>
    <t>Biaya lain-lain</t>
  </si>
  <si>
    <t>TOTAL MODAL BARANG</t>
  </si>
  <si>
    <t>TOTAL BIAYA TETAP / BULAN</t>
  </si>
  <si>
    <t>Kategori saran: Beras / Minyak / Gula / Telur / Tepung / Bumbu / Mie &amp; Kemasan / Rokok / Lain-lain</t>
  </si>
  <si>
    <t>Harga beli = harga kulakan terakhir, BUKAN harga jual.</t>
  </si>
  <si>
    <t>HITUNG TITIK IMPAS</t>
  </si>
  <si>
    <t xml:space="preserve">Margin kotor rata-rata </t>
  </si>
  <si>
    <t>ASUMSI — ganti dengan angka nyata setelah 1 bulan pencatatan</t>
  </si>
  <si>
    <t>07 — LOG KEPUTUSAN TSS</t>
  </si>
  <si>
    <t>Omzet minimum agar tidak rugi / bulan</t>
  </si>
  <si>
    <t>Satu baris per keputusan. Diisi pada hari keputusan dibuat. Dipindahkan ke Notion setiap akhir minggu.</t>
  </si>
  <si>
    <t>Tanggal</t>
  </si>
  <si>
    <t>Keputusan</t>
  </si>
  <si>
    <t>Alasan / Data pendukung</t>
  </si>
  <si>
    <t>Omzet minimum / hari (30 hari kerja)</t>
  </si>
  <si>
    <t>Konsekuensi yang diharapkan</t>
  </si>
  <si>
    <t>Tanggal Review</t>
  </si>
  <si>
    <t>Hasil saat direview</t>
  </si>
  <si>
    <t>31 Jul 2026</t>
  </si>
  <si>
    <t>Reset pembukuan TSS dari nol</t>
  </si>
  <si>
    <t>Modal tercampur dengan uang Ibu, laba tidak terukur</t>
  </si>
  <si>
    <t>Ekuitas TSS terukur &amp; laba bisa dihitung per bulan</t>
  </si>
  <si>
    <t>31 Agu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</si>
</sst>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;&quot;(Rp&quot;#,##0\);\-"/>
    <numFmt numFmtId="165" formatCode="0.0%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theme="1"/>
      <name val="Arial"/>
    </font>
    <font>
      <b/>
      <sz val="9.0"/>
      <color rgb="FF111827"/>
      <name val="Arial"/>
    </font>
    <font>
      <b/>
      <sz val="10.0"/>
      <color rgb="FF334155"/>
      <name val="Arial"/>
    </font>
    <font>
      <sz val="10.0"/>
      <color rgb="FF111827"/>
      <name val="Arial"/>
    </font>
    <font>
      <i/>
      <sz val="9.0"/>
      <color rgb="FF6B7280"/>
      <name val="Arial"/>
    </font>
    <font>
      <b/>
      <sz val="10.0"/>
      <color rgb="FF111827"/>
      <name val="Arial"/>
    </font>
    <font>
      <sz val="11.0"/>
      <color rgb="FF15803D"/>
      <name val="Arial"/>
    </font>
    <font>
      <sz val="11.0"/>
      <color theme="1"/>
      <name val="Calibri"/>
    </font>
    <font>
      <i/>
      <sz val="10.0"/>
      <color rgb="FF9CA3AF"/>
      <name val="Arial"/>
    </font>
    <font>
      <b/>
      <u/>
      <sz val="11.0"/>
      <color rgb="FF2563EB"/>
      <name val="Arial"/>
    </font>
    <font>
      <b/>
      <u/>
      <sz val="9.0"/>
      <color rgb="FF111827"/>
      <name val="Arial"/>
    </font>
    <font>
      <u/>
      <sz val="11.0"/>
      <color rgb="FF2563EB"/>
      <name val="Arial"/>
    </font>
    <font>
      <sz val="10.0"/>
      <color rgb="FF2563EB"/>
      <name val="Arial"/>
    </font>
    <font>
      <b/>
      <sz val="11.0"/>
      <color rgb="FF111827"/>
      <name val="Arial"/>
    </font>
    <font>
      <b/>
      <sz val="11.0"/>
      <color rgb="FF78350F"/>
      <name val="Arial"/>
    </font>
    <font>
      <sz val="10.0"/>
      <color rgb="FF15803D"/>
      <name val="Arial"/>
    </font>
    <font>
      <b/>
      <sz val="13.0"/>
      <color rgb="FF78350F"/>
      <name val="Arial"/>
    </font>
    <font>
      <sz val="11.0"/>
      <color theme="1"/>
      <name val="Arial"/>
    </font>
    <font>
      <b/>
      <sz val="10.0"/>
      <color rgb="FF78350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E5E7EB"/>
        <bgColor rgb="FFE5E7EB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medium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</border>
    <border>
      <top style="medium">
        <color rgb="FFD1D5DB"/>
      </top>
    </border>
    <border>
      <left style="thin">
        <color rgb="FFF5CA6B"/>
      </left>
      <right style="thin">
        <color rgb="FFF5CA6B"/>
      </right>
      <top style="medium">
        <color rgb="FFD1D5DB"/>
      </top>
      <bottom style="thin">
        <color rgb="FFF5CA6B"/>
      </bottom>
    </border>
    <border>
      <left/>
      <right/>
      <top style="thin">
        <color rgb="FFD1D5DB"/>
      </top>
      <bottom/>
    </border>
    <border>
      <left style="thin">
        <color rgb="FFF5CA6B"/>
      </left>
      <right style="thin">
        <color rgb="FFF5CA6B"/>
      </right>
      <top style="medium">
        <color rgb="FFD1D5DB"/>
      </top>
      <bottom style="medium">
        <color rgb="FFD1D5DB"/>
      </bottom>
    </border>
    <border>
      <left style="thin">
        <color rgb="FFF5CA6B"/>
      </left>
      <right style="thin">
        <color rgb="FFF5CA6B"/>
      </right>
      <top style="thin">
        <color rgb="FFF5CA6B"/>
      </top>
      <bottom style="thin">
        <color rgb="FFF5CA6B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5" fillId="3" fontId="8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7" fillId="0" fontId="10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center" wrapText="0"/>
    </xf>
    <xf borderId="8" fillId="4" fontId="11" numFmtId="0" xfId="0" applyAlignment="1" applyBorder="1" applyFill="1" applyFont="1">
      <alignment shrinkToFit="0" vertical="bottom" wrapText="0"/>
    </xf>
    <xf borderId="5" fillId="3" fontId="12" numFmtId="0" xfId="0" applyAlignment="1" applyBorder="1" applyFont="1">
      <alignment shrinkToFit="0" vertical="bottom" wrapText="0"/>
    </xf>
    <xf borderId="4" fillId="5" fontId="1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8" fillId="4" fontId="11" numFmtId="164" xfId="0" applyAlignment="1" applyBorder="1" applyFont="1" applyNumberForma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9" fillId="6" fontId="15" numFmtId="0" xfId="0" applyAlignment="1" applyBorder="1" applyFill="1" applyFont="1">
      <alignment shrinkToFit="0" vertical="bottom" wrapText="0"/>
    </xf>
    <xf borderId="9" fillId="6" fontId="15" numFmtId="164" xfId="0" applyAlignment="1" applyBorder="1" applyFont="1" applyNumberFormat="1">
      <alignment shrinkToFit="0" vertical="bottom" wrapText="0"/>
    </xf>
    <xf borderId="8" fillId="0" fontId="6" numFmtId="164" xfId="0" applyAlignment="1" applyBorder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10" fillId="0" fontId="16" numFmtId="0" xfId="0" applyAlignment="1" applyBorder="1" applyFont="1">
      <alignment shrinkToFit="0" vertical="bottom" wrapText="0"/>
    </xf>
    <xf borderId="11" fillId="7" fontId="17" numFmtId="164" xfId="0" applyAlignment="1" applyBorder="1" applyFill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8" fillId="0" fontId="18" numFmtId="164" xfId="0" applyAlignment="1" applyBorder="1" applyFont="1" applyNumberFormat="1">
      <alignment shrinkToFit="0" vertical="bottom" wrapText="0"/>
    </xf>
    <xf borderId="12" fillId="3" fontId="16" numFmtId="164" xfId="0" applyAlignment="1" applyBorder="1" applyFont="1" applyNumberFormat="1">
      <alignment shrinkToFit="0" vertical="bottom" wrapText="0"/>
    </xf>
    <xf borderId="13" fillId="7" fontId="19" numFmtId="164" xfId="0" applyAlignment="1" applyBorder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8" fillId="0" fontId="6" numFmtId="0" xfId="0" applyAlignment="1" applyBorder="1" applyFont="1">
      <alignment shrinkToFit="0" vertical="center" wrapText="1"/>
    </xf>
    <xf borderId="9" fillId="6" fontId="15" numFmtId="0" xfId="0" applyAlignment="1" applyBorder="1" applyFont="1">
      <alignment horizontal="center" readingOrder="0" shrinkToFit="0" vertical="bottom" wrapText="0"/>
    </xf>
    <xf borderId="9" fillId="6" fontId="15" numFmtId="0" xfId="0" applyAlignment="1" applyBorder="1" applyFont="1">
      <alignment horizontal="center" shrinkToFit="0" vertical="bottom" wrapText="0"/>
    </xf>
    <xf borderId="9" fillId="6" fontId="3" numFmtId="0" xfId="0" applyAlignment="1" applyBorder="1" applyFont="1">
      <alignment shrinkToFit="0" vertical="bottom" wrapText="0"/>
    </xf>
    <xf borderId="9" fillId="6" fontId="3" numFmtId="0" xfId="0" applyAlignment="1" applyBorder="1" applyFont="1">
      <alignment readingOrder="0" shrinkToFit="0" vertical="bottom" wrapText="0"/>
    </xf>
    <xf borderId="9" fillId="6" fontId="15" numFmtId="165" xfId="0" applyAlignment="1" applyBorder="1" applyFont="1" applyNumberFormat="1">
      <alignment shrinkToFit="0" vertical="bottom" wrapText="0"/>
    </xf>
    <xf borderId="14" fillId="7" fontId="21" numFmtId="164" xfId="0" applyAlignment="1" applyBorder="1" applyFont="1" applyNumberFormat="1">
      <alignment shrinkToFit="0" vertical="bottom" wrapText="0"/>
    </xf>
    <xf borderId="8" fillId="4" fontId="11" numFmtId="0" xfId="0" applyAlignment="1" applyBorder="1" applyFont="1">
      <alignment shrinkToFit="0" vertical="top" wrapText="1"/>
    </xf>
    <xf borderId="9" fillId="6" fontId="1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1.29"/>
    <col customWidth="1" min="3" max="3" width="40.0"/>
    <col customWidth="1" min="4" max="26" width="8.71"/>
  </cols>
  <sheetData>
    <row r="1" ht="24.0" customHeight="1">
      <c r="A1" s="1" t="s">
        <v>0</v>
      </c>
      <c r="B1" s="2"/>
      <c r="C1" s="3"/>
    </row>
    <row r="2">
      <c r="B2" s="4"/>
      <c r="C2" s="4"/>
    </row>
    <row r="3">
      <c r="B3" s="6" t="s">
        <v>2</v>
      </c>
      <c r="C3" s="7" t="s">
        <v>3</v>
      </c>
    </row>
    <row r="4">
      <c r="B4" s="6" t="s">
        <v>5</v>
      </c>
      <c r="C4" s="7" t="s">
        <v>6</v>
      </c>
    </row>
    <row r="5">
      <c r="B5" s="6" t="s">
        <v>7</v>
      </c>
      <c r="C5" s="10" t="s">
        <v>9</v>
      </c>
    </row>
    <row r="6">
      <c r="B6" s="6" t="s">
        <v>11</v>
      </c>
      <c r="C6" s="10" t="s">
        <v>12</v>
      </c>
    </row>
    <row r="7">
      <c r="B7" s="4"/>
      <c r="C7" s="4"/>
    </row>
    <row r="8">
      <c r="B8" s="9" t="s">
        <v>14</v>
      </c>
      <c r="C8" s="11"/>
    </row>
    <row r="9">
      <c r="B9" s="7" t="s">
        <v>18</v>
      </c>
      <c r="C9" s="4"/>
    </row>
    <row r="10">
      <c r="B10" s="7" t="s">
        <v>19</v>
      </c>
      <c r="C10" s="4"/>
    </row>
    <row r="11">
      <c r="B11" s="7" t="s">
        <v>21</v>
      </c>
      <c r="C11" s="4"/>
    </row>
    <row r="12">
      <c r="B12" s="12" t="s">
        <v>24</v>
      </c>
    </row>
    <row r="13">
      <c r="B13" s="4"/>
      <c r="C13" s="4"/>
    </row>
    <row r="14">
      <c r="B14" s="16" t="s">
        <v>27</v>
      </c>
      <c r="C14" s="11"/>
    </row>
    <row r="15">
      <c r="B15" s="18" t="s">
        <v>33</v>
      </c>
      <c r="C15" s="7" t="s">
        <v>35</v>
      </c>
    </row>
    <row r="16">
      <c r="B16" s="18" t="s">
        <v>37</v>
      </c>
      <c r="C16" s="7" t="s">
        <v>41</v>
      </c>
    </row>
    <row r="17">
      <c r="B17" s="18" t="s">
        <v>43</v>
      </c>
      <c r="C17" s="7" t="s">
        <v>44</v>
      </c>
    </row>
    <row r="18">
      <c r="B18" s="18" t="s">
        <v>45</v>
      </c>
      <c r="C18" s="7" t="s">
        <v>47</v>
      </c>
    </row>
    <row r="19">
      <c r="B19" s="18" t="s">
        <v>48</v>
      </c>
      <c r="C19" s="4"/>
    </row>
    <row r="20">
      <c r="B20" s="18" t="s">
        <v>49</v>
      </c>
      <c r="C20" s="4"/>
    </row>
    <row r="21" ht="15.75" customHeight="1">
      <c r="B21" s="7" t="s">
        <v>52</v>
      </c>
      <c r="C21" s="4"/>
    </row>
    <row r="22" ht="15.75" customHeight="1">
      <c r="B22" s="4"/>
      <c r="C22" s="4"/>
    </row>
    <row r="23" ht="15.75" customHeight="1">
      <c r="B23" s="9" t="s">
        <v>55</v>
      </c>
      <c r="C23" s="11"/>
    </row>
    <row r="24" ht="15.75" customHeight="1">
      <c r="B24" s="7" t="s">
        <v>59</v>
      </c>
      <c r="C24" s="4"/>
    </row>
    <row r="25" ht="15.75" customHeight="1">
      <c r="B25" s="7" t="s">
        <v>60</v>
      </c>
      <c r="C25" s="7" t="s">
        <v>61</v>
      </c>
    </row>
    <row r="26" ht="15.75" customHeight="1">
      <c r="B26" s="7" t="s">
        <v>64</v>
      </c>
      <c r="C26" s="4"/>
    </row>
    <row r="27" ht="15.75" customHeight="1">
      <c r="B27" s="7" t="s">
        <v>67</v>
      </c>
      <c r="C27" s="7" t="s">
        <v>68</v>
      </c>
    </row>
    <row r="28" ht="15.75" customHeight="1">
      <c r="B28" s="7" t="s">
        <v>72</v>
      </c>
      <c r="C28" s="4"/>
    </row>
    <row r="29" ht="15.75" customHeight="1">
      <c r="B29" s="7" t="s">
        <v>73</v>
      </c>
      <c r="C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display="URUTAN PENGISIAN (jangan diloncat)" location="'01_MODAL_BARANG'!A1" ref="B14"/>
    <hyperlink display="1. Sheet 01 — Hitung fisik semua stok barang. Ini modal barang." location="'02_MODAL_UANG'!A1" ref="B15"/>
    <hyperlink display="2. Sheet 02 — Hitung fisik semua uang: brankas, rekening, e-wallet, laci kasir." location="'03_PIUTANG_HUTANG'!A1" ref="B16"/>
    <hyperlink display="3. Sheet 03 — Catat semua piutang &amp; hutang ke pihak LUAR. Dana Ibu tidak masuk sini." location="'04_NERACA_AWAL'!A1" ref="B17"/>
    <hyperlink display="4. Sheet 04 — Neraca awal terisi otomatis. Baca angkanya." location="'05_BIAYA_BEP'!A1" ref="B18"/>
    <hyperlink display="5. Sheet 05 — Isi biaya tetap bulanan. Dapat angka BEP." location="'06_ATURAN_SISTEM'!A1" ref="B19"/>
    <hyperlink display="6. Sheet 06 — Baca &amp; tanda tangani aturan sistem. Ini yang mencegah kebocoran terulang." location="'07_LOG_KEPUTUSAN'!A1" ref="B20"/>
  </hyperlinks>
  <printOptions/>
  <pageMargins bottom="1.0" footer="0.0" header="0.0" left="0.5" right="0.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30.0"/>
    <col customWidth="1" min="4" max="5" width="10.0"/>
    <col customWidth="1" min="6" max="6" width="16.0"/>
    <col customWidth="1" min="7" max="7" width="18.0"/>
    <col customWidth="1" min="8" max="8" width="26.0"/>
    <col customWidth="1" min="9" max="26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3"/>
      <c r="K1" s="5"/>
    </row>
    <row r="2">
      <c r="A2" s="8" t="s">
        <v>4</v>
      </c>
    </row>
    <row r="3" ht="30.0" customHeight="1">
      <c r="A3" s="9" t="s">
        <v>8</v>
      </c>
      <c r="B3" s="9" t="s">
        <v>10</v>
      </c>
      <c r="C3" s="9" t="s">
        <v>13</v>
      </c>
      <c r="D3" s="9" t="s">
        <v>15</v>
      </c>
      <c r="E3" s="9" t="s">
        <v>17</v>
      </c>
      <c r="F3" s="9" t="s">
        <v>20</v>
      </c>
      <c r="G3" s="9" t="s">
        <v>22</v>
      </c>
      <c r="H3" s="9" t="s">
        <v>25</v>
      </c>
      <c r="I3" s="13"/>
    </row>
    <row r="4">
      <c r="A4" s="15">
        <v>1.0</v>
      </c>
      <c r="B4" s="15" t="s">
        <v>29</v>
      </c>
      <c r="C4" s="15" t="s">
        <v>31</v>
      </c>
      <c r="D4" s="15" t="s">
        <v>32</v>
      </c>
      <c r="E4" s="15">
        <v>12.0</v>
      </c>
      <c r="F4" s="19">
        <v>320000.0</v>
      </c>
      <c r="G4" s="19">
        <f t="shared" ref="G4:G52" si="1">IF(E4="","",E4*F4)</f>
        <v>3840000</v>
      </c>
      <c r="H4" s="15" t="s">
        <v>54</v>
      </c>
      <c r="I4" s="8" t="s">
        <v>57</v>
      </c>
    </row>
    <row r="5">
      <c r="A5" s="20">
        <v>1.0</v>
      </c>
      <c r="B5" s="7" t="s">
        <v>66</v>
      </c>
      <c r="C5" s="7" t="s">
        <v>69</v>
      </c>
      <c r="D5" s="7" t="s">
        <v>71</v>
      </c>
      <c r="E5" s="21">
        <v>156.0</v>
      </c>
      <c r="F5" s="22">
        <v>1667.0</v>
      </c>
      <c r="G5" s="23">
        <f t="shared" si="1"/>
        <v>260052</v>
      </c>
      <c r="H5" s="21"/>
    </row>
    <row r="6">
      <c r="A6" s="20">
        <v>2.0</v>
      </c>
      <c r="B6" s="24" t="s">
        <v>78</v>
      </c>
      <c r="C6" s="7" t="s">
        <v>79</v>
      </c>
      <c r="D6" s="7" t="s">
        <v>80</v>
      </c>
      <c r="E6" s="21">
        <v>18.78</v>
      </c>
      <c r="F6" s="22">
        <v>25588.0</v>
      </c>
      <c r="G6" s="23">
        <f t="shared" si="1"/>
        <v>480542.64</v>
      </c>
      <c r="H6" s="21"/>
    </row>
    <row r="7">
      <c r="A7" s="20">
        <v>3.0</v>
      </c>
      <c r="B7" s="7" t="s">
        <v>78</v>
      </c>
      <c r="C7" s="7" t="s">
        <v>82</v>
      </c>
      <c r="D7" s="7" t="s">
        <v>80</v>
      </c>
      <c r="E7" s="21">
        <v>22.09</v>
      </c>
      <c r="F7" s="22">
        <v>74384.0</v>
      </c>
      <c r="G7" s="23">
        <f t="shared" si="1"/>
        <v>1643142.56</v>
      </c>
      <c r="H7" s="21"/>
    </row>
    <row r="8">
      <c r="A8" s="20">
        <v>4.0</v>
      </c>
      <c r="B8" s="7" t="s">
        <v>78</v>
      </c>
      <c r="C8" s="7" t="s">
        <v>85</v>
      </c>
      <c r="D8" s="7" t="s">
        <v>80</v>
      </c>
      <c r="E8" s="21">
        <v>7.67</v>
      </c>
      <c r="F8" s="22">
        <v>62184.0</v>
      </c>
      <c r="G8" s="23">
        <f t="shared" si="1"/>
        <v>476951.28</v>
      </c>
      <c r="H8" s="21"/>
    </row>
    <row r="9">
      <c r="A9" s="20">
        <v>5.0</v>
      </c>
      <c r="B9" s="7" t="s">
        <v>78</v>
      </c>
      <c r="C9" s="7" t="s">
        <v>89</v>
      </c>
      <c r="D9" s="7" t="s">
        <v>90</v>
      </c>
      <c r="E9" s="21">
        <v>0.0</v>
      </c>
      <c r="F9" s="22">
        <v>0.0</v>
      </c>
      <c r="G9" s="23">
        <f t="shared" si="1"/>
        <v>0</v>
      </c>
      <c r="H9" s="21"/>
    </row>
    <row r="10">
      <c r="A10" s="20">
        <v>6.0</v>
      </c>
      <c r="B10" s="7" t="s">
        <v>78</v>
      </c>
      <c r="C10" s="7" t="s">
        <v>92</v>
      </c>
      <c r="D10" s="7" t="s">
        <v>90</v>
      </c>
      <c r="E10" s="21">
        <v>5.0</v>
      </c>
      <c r="F10" s="22">
        <v>1425.0</v>
      </c>
      <c r="G10" s="23">
        <f t="shared" si="1"/>
        <v>7125</v>
      </c>
      <c r="H10" s="21"/>
    </row>
    <row r="11">
      <c r="A11" s="20">
        <v>7.0</v>
      </c>
      <c r="B11" s="7" t="s">
        <v>78</v>
      </c>
      <c r="C11" s="7" t="s">
        <v>94</v>
      </c>
      <c r="D11" s="7" t="s">
        <v>90</v>
      </c>
      <c r="E11" s="21">
        <v>160.0</v>
      </c>
      <c r="F11" s="22">
        <v>1375.0</v>
      </c>
      <c r="G11" s="23">
        <f t="shared" si="1"/>
        <v>220000</v>
      </c>
      <c r="H11" s="21"/>
    </row>
    <row r="12">
      <c r="A12" s="20">
        <v>8.0</v>
      </c>
      <c r="B12" s="7" t="s">
        <v>78</v>
      </c>
      <c r="C12" s="7" t="s">
        <v>98</v>
      </c>
      <c r="D12" s="7" t="s">
        <v>80</v>
      </c>
      <c r="E12" s="21">
        <v>129.0</v>
      </c>
      <c r="F12" s="22">
        <v>27200.0</v>
      </c>
      <c r="G12" s="23">
        <f t="shared" si="1"/>
        <v>3508800</v>
      </c>
      <c r="H12" s="21"/>
    </row>
    <row r="13">
      <c r="A13" s="20">
        <v>9.0</v>
      </c>
      <c r="B13" s="7" t="s">
        <v>78</v>
      </c>
      <c r="C13" s="7" t="s">
        <v>101</v>
      </c>
      <c r="D13" s="7" t="s">
        <v>80</v>
      </c>
      <c r="E13" s="21">
        <v>24.0</v>
      </c>
      <c r="F13" s="22">
        <v>42063.0</v>
      </c>
      <c r="G13" s="23">
        <f t="shared" si="1"/>
        <v>1009512</v>
      </c>
      <c r="H13" s="21"/>
    </row>
    <row r="14">
      <c r="A14" s="20">
        <v>10.0</v>
      </c>
      <c r="B14" s="7" t="s">
        <v>78</v>
      </c>
      <c r="C14" s="7" t="s">
        <v>102</v>
      </c>
      <c r="D14" s="7" t="s">
        <v>80</v>
      </c>
      <c r="E14" s="21">
        <v>65.48</v>
      </c>
      <c r="F14" s="22">
        <v>23161.0</v>
      </c>
      <c r="G14" s="23">
        <f t="shared" si="1"/>
        <v>1516582.28</v>
      </c>
      <c r="H14" s="21"/>
    </row>
    <row r="15">
      <c r="A15" s="20">
        <v>11.0</v>
      </c>
      <c r="B15" s="7" t="s">
        <v>78</v>
      </c>
      <c r="C15" s="7" t="s">
        <v>103</v>
      </c>
      <c r="D15" s="7" t="s">
        <v>104</v>
      </c>
      <c r="E15" s="21">
        <v>88.0</v>
      </c>
      <c r="F15" s="22">
        <v>8000.0</v>
      </c>
      <c r="G15" s="23">
        <f t="shared" si="1"/>
        <v>704000</v>
      </c>
      <c r="H15" s="21"/>
    </row>
    <row r="16">
      <c r="A16" s="20">
        <v>12.0</v>
      </c>
      <c r="B16" s="7" t="s">
        <v>78</v>
      </c>
      <c r="C16" s="7" t="s">
        <v>105</v>
      </c>
      <c r="D16" s="7" t="s">
        <v>104</v>
      </c>
      <c r="E16" s="21">
        <v>46.0</v>
      </c>
      <c r="F16" s="22">
        <v>8943.0</v>
      </c>
      <c r="G16" s="23">
        <f t="shared" si="1"/>
        <v>411378</v>
      </c>
      <c r="H16" s="21"/>
    </row>
    <row r="17">
      <c r="A17" s="20">
        <v>13.0</v>
      </c>
      <c r="B17" s="7" t="s">
        <v>78</v>
      </c>
      <c r="C17" s="7" t="s">
        <v>108</v>
      </c>
      <c r="D17" s="7" t="s">
        <v>80</v>
      </c>
      <c r="E17" s="21">
        <v>6.0</v>
      </c>
      <c r="F17" s="22">
        <v>8300.0</v>
      </c>
      <c r="G17" s="23">
        <f t="shared" si="1"/>
        <v>49800</v>
      </c>
      <c r="H17" s="21"/>
    </row>
    <row r="18">
      <c r="A18" s="20">
        <v>14.0</v>
      </c>
      <c r="B18" s="7" t="s">
        <v>78</v>
      </c>
      <c r="C18" s="7" t="s">
        <v>112</v>
      </c>
      <c r="D18" s="7" t="s">
        <v>104</v>
      </c>
      <c r="E18" s="21">
        <v>1.0</v>
      </c>
      <c r="F18" s="22">
        <v>11000.0</v>
      </c>
      <c r="G18" s="23">
        <f t="shared" si="1"/>
        <v>11000</v>
      </c>
      <c r="H18" s="21"/>
    </row>
    <row r="19">
      <c r="A19" s="20">
        <v>15.0</v>
      </c>
      <c r="B19" s="7" t="s">
        <v>78</v>
      </c>
      <c r="C19" s="7" t="s">
        <v>116</v>
      </c>
      <c r="D19" s="7" t="s">
        <v>117</v>
      </c>
      <c r="E19" s="21">
        <v>12.0</v>
      </c>
      <c r="F19" s="22">
        <v>15300.0</v>
      </c>
      <c r="G19" s="23">
        <f t="shared" si="1"/>
        <v>183600</v>
      </c>
      <c r="H19" s="21"/>
    </row>
    <row r="20">
      <c r="A20" s="20">
        <v>17.0</v>
      </c>
      <c r="B20" s="7" t="s">
        <v>78</v>
      </c>
      <c r="C20" s="7" t="s">
        <v>122</v>
      </c>
      <c r="D20" s="7" t="s">
        <v>124</v>
      </c>
      <c r="E20" s="21">
        <v>33.0</v>
      </c>
      <c r="F20" s="22">
        <v>4459.0</v>
      </c>
      <c r="G20" s="23">
        <f t="shared" si="1"/>
        <v>147147</v>
      </c>
      <c r="H20" s="21"/>
    </row>
    <row r="21" ht="15.75" customHeight="1">
      <c r="A21" s="20">
        <v>18.0</v>
      </c>
      <c r="B21" s="7" t="s">
        <v>29</v>
      </c>
      <c r="C21" s="7" t="s">
        <v>129</v>
      </c>
      <c r="D21" s="7" t="s">
        <v>80</v>
      </c>
      <c r="E21" s="21">
        <v>0.0</v>
      </c>
      <c r="F21" s="22">
        <v>0.0</v>
      </c>
      <c r="G21" s="23">
        <f t="shared" si="1"/>
        <v>0</v>
      </c>
      <c r="H21" s="21"/>
    </row>
    <row r="22" ht="15.75" customHeight="1">
      <c r="A22" s="20">
        <v>19.0</v>
      </c>
      <c r="B22" s="7" t="s">
        <v>29</v>
      </c>
      <c r="C22" s="7" t="s">
        <v>133</v>
      </c>
      <c r="D22" s="7" t="s">
        <v>80</v>
      </c>
      <c r="E22" s="21">
        <v>693.6</v>
      </c>
      <c r="F22" s="22">
        <v>13500.0</v>
      </c>
      <c r="G22" s="23">
        <f t="shared" si="1"/>
        <v>9363600</v>
      </c>
      <c r="H22" s="21"/>
    </row>
    <row r="23" ht="15.75" customHeight="1">
      <c r="A23" s="20">
        <v>20.0</v>
      </c>
      <c r="B23" s="7" t="s">
        <v>29</v>
      </c>
      <c r="C23" s="7" t="s">
        <v>136</v>
      </c>
      <c r="D23" s="7" t="s">
        <v>80</v>
      </c>
      <c r="E23" s="21">
        <v>41.97</v>
      </c>
      <c r="F23" s="22">
        <v>23500.0</v>
      </c>
      <c r="G23" s="23">
        <f t="shared" si="1"/>
        <v>986295</v>
      </c>
      <c r="H23" s="21"/>
    </row>
    <row r="24" ht="15.75" customHeight="1">
      <c r="A24" s="20">
        <v>21.0</v>
      </c>
      <c r="B24" s="7" t="s">
        <v>29</v>
      </c>
      <c r="C24" s="7" t="s">
        <v>141</v>
      </c>
      <c r="D24" s="7" t="s">
        <v>80</v>
      </c>
      <c r="E24" s="21">
        <v>875.0</v>
      </c>
      <c r="F24" s="22">
        <v>15000.0</v>
      </c>
      <c r="G24" s="23">
        <f t="shared" si="1"/>
        <v>13125000</v>
      </c>
      <c r="H24" s="21"/>
    </row>
    <row r="25" ht="15.75" customHeight="1">
      <c r="A25" s="20">
        <v>22.0</v>
      </c>
      <c r="B25" s="7" t="s">
        <v>29</v>
      </c>
      <c r="C25" s="7" t="s">
        <v>143</v>
      </c>
      <c r="D25" s="7" t="s">
        <v>80</v>
      </c>
      <c r="E25" s="21">
        <v>0.0</v>
      </c>
      <c r="F25" s="22">
        <v>14500.0</v>
      </c>
      <c r="G25" s="23">
        <f t="shared" si="1"/>
        <v>0</v>
      </c>
      <c r="H25" s="21"/>
    </row>
    <row r="26" ht="15.75" customHeight="1">
      <c r="A26" s="20">
        <v>23.0</v>
      </c>
      <c r="B26" s="7" t="s">
        <v>29</v>
      </c>
      <c r="C26" s="7" t="s">
        <v>144</v>
      </c>
      <c r="D26" s="7" t="s">
        <v>80</v>
      </c>
      <c r="E26" s="21">
        <v>1367.04</v>
      </c>
      <c r="F26" s="22">
        <v>15000.0</v>
      </c>
      <c r="G26" s="23">
        <f t="shared" si="1"/>
        <v>20505600</v>
      </c>
      <c r="H26" s="21"/>
    </row>
    <row r="27" ht="15.75" customHeight="1">
      <c r="A27" s="20">
        <v>24.0</v>
      </c>
      <c r="B27" s="7" t="s">
        <v>29</v>
      </c>
      <c r="C27" s="7" t="s">
        <v>145</v>
      </c>
      <c r="D27" s="7" t="s">
        <v>80</v>
      </c>
      <c r="E27" s="21">
        <v>625.0</v>
      </c>
      <c r="F27" s="22">
        <v>14350.0</v>
      </c>
      <c r="G27" s="23">
        <f t="shared" si="1"/>
        <v>8968750</v>
      </c>
      <c r="H27" s="21"/>
    </row>
    <row r="28" ht="15.75" customHeight="1">
      <c r="A28" s="20">
        <v>25.0</v>
      </c>
      <c r="B28" s="7" t="s">
        <v>29</v>
      </c>
      <c r="C28" s="7" t="s">
        <v>146</v>
      </c>
      <c r="D28" s="7" t="s">
        <v>80</v>
      </c>
      <c r="E28" s="21">
        <v>1015.56</v>
      </c>
      <c r="F28" s="22">
        <v>13000.0</v>
      </c>
      <c r="G28" s="23">
        <f t="shared" si="1"/>
        <v>13202280</v>
      </c>
      <c r="H28" s="21"/>
    </row>
    <row r="29" ht="15.75" customHeight="1">
      <c r="A29" s="20">
        <v>26.0</v>
      </c>
      <c r="B29" s="7" t="s">
        <v>29</v>
      </c>
      <c r="C29" s="7" t="s">
        <v>147</v>
      </c>
      <c r="D29" s="7" t="s">
        <v>80</v>
      </c>
      <c r="E29" s="21">
        <v>0.0</v>
      </c>
      <c r="F29" s="22">
        <v>0.0</v>
      </c>
      <c r="G29" s="23">
        <f t="shared" si="1"/>
        <v>0</v>
      </c>
      <c r="H29" s="21"/>
    </row>
    <row r="30" ht="15.75" customHeight="1">
      <c r="A30" s="20">
        <v>27.0</v>
      </c>
      <c r="B30" s="7" t="s">
        <v>29</v>
      </c>
      <c r="C30" s="7" t="s">
        <v>148</v>
      </c>
      <c r="D30" s="7" t="s">
        <v>80</v>
      </c>
      <c r="E30" s="21">
        <v>531.24</v>
      </c>
      <c r="F30" s="22">
        <v>14000.0</v>
      </c>
      <c r="G30" s="23">
        <f t="shared" si="1"/>
        <v>7437360</v>
      </c>
      <c r="H30" s="21"/>
    </row>
    <row r="31" ht="15.75" customHeight="1">
      <c r="A31" s="20">
        <v>28.0</v>
      </c>
      <c r="B31" s="7" t="s">
        <v>29</v>
      </c>
      <c r="C31" s="7" t="s">
        <v>149</v>
      </c>
      <c r="D31" s="7" t="s">
        <v>80</v>
      </c>
      <c r="E31" s="21">
        <v>495.0</v>
      </c>
      <c r="F31" s="22">
        <v>15000.0</v>
      </c>
      <c r="G31" s="23">
        <f t="shared" si="1"/>
        <v>7425000</v>
      </c>
      <c r="H31" s="21"/>
    </row>
    <row r="32" ht="15.75" customHeight="1">
      <c r="A32" s="20">
        <v>29.0</v>
      </c>
      <c r="B32" s="7" t="s">
        <v>29</v>
      </c>
      <c r="C32" s="7" t="s">
        <v>150</v>
      </c>
      <c r="D32" s="7" t="s">
        <v>80</v>
      </c>
      <c r="E32" s="21">
        <v>0.0</v>
      </c>
      <c r="F32" s="22">
        <v>14600.0</v>
      </c>
      <c r="G32" s="23">
        <f t="shared" si="1"/>
        <v>0</v>
      </c>
      <c r="H32" s="21"/>
    </row>
    <row r="33" ht="15.75" customHeight="1">
      <c r="A33" s="20">
        <v>30.0</v>
      </c>
      <c r="B33" s="7" t="s">
        <v>29</v>
      </c>
      <c r="C33" s="7" t="s">
        <v>151</v>
      </c>
      <c r="D33" s="7" t="s">
        <v>80</v>
      </c>
      <c r="E33" s="21">
        <v>225.0</v>
      </c>
      <c r="F33" s="22">
        <v>14500.0</v>
      </c>
      <c r="G33" s="23">
        <f t="shared" si="1"/>
        <v>3262500</v>
      </c>
      <c r="H33" s="21"/>
    </row>
    <row r="34" ht="15.75" customHeight="1">
      <c r="A34" s="20">
        <v>31.0</v>
      </c>
      <c r="B34" s="7" t="s">
        <v>29</v>
      </c>
      <c r="C34" s="7" t="s">
        <v>152</v>
      </c>
      <c r="D34" s="7" t="s">
        <v>80</v>
      </c>
      <c r="E34" s="21">
        <v>556.02</v>
      </c>
      <c r="F34" s="22">
        <v>14800.0</v>
      </c>
      <c r="G34" s="23">
        <f t="shared" si="1"/>
        <v>8229096</v>
      </c>
      <c r="H34" s="21"/>
    </row>
    <row r="35" ht="15.75" customHeight="1">
      <c r="A35" s="20">
        <v>32.0</v>
      </c>
      <c r="B35" s="7" t="s">
        <v>153</v>
      </c>
      <c r="C35" s="7" t="s">
        <v>154</v>
      </c>
      <c r="D35" s="7" t="s">
        <v>80</v>
      </c>
      <c r="E35" s="21">
        <v>100.51</v>
      </c>
      <c r="F35" s="22">
        <v>18000.0</v>
      </c>
      <c r="G35" s="23">
        <f t="shared" si="1"/>
        <v>1809180</v>
      </c>
      <c r="H35" s="21"/>
    </row>
    <row r="36" ht="15.75" customHeight="1">
      <c r="A36" s="20">
        <v>33.0</v>
      </c>
      <c r="B36" s="7" t="s">
        <v>153</v>
      </c>
      <c r="C36" s="7" t="s">
        <v>156</v>
      </c>
      <c r="D36" s="7" t="s">
        <v>80</v>
      </c>
      <c r="E36" s="21">
        <v>108.0</v>
      </c>
      <c r="F36" s="22">
        <v>16500.0</v>
      </c>
      <c r="G36" s="23">
        <f t="shared" si="1"/>
        <v>1782000</v>
      </c>
      <c r="H36" s="21"/>
    </row>
    <row r="37" ht="15.75" customHeight="1">
      <c r="A37" s="20">
        <v>34.0</v>
      </c>
      <c r="B37" s="7" t="s">
        <v>153</v>
      </c>
      <c r="C37" s="7" t="s">
        <v>157</v>
      </c>
      <c r="D37" s="7" t="s">
        <v>117</v>
      </c>
      <c r="E37" s="21">
        <v>137.0</v>
      </c>
      <c r="F37" s="22">
        <v>9170.0</v>
      </c>
      <c r="G37" s="23">
        <f t="shared" si="1"/>
        <v>1256290</v>
      </c>
      <c r="H37" s="21"/>
    </row>
    <row r="38" ht="15.75" customHeight="1">
      <c r="A38" s="20">
        <v>35.0</v>
      </c>
      <c r="B38" s="7" t="s">
        <v>158</v>
      </c>
      <c r="C38" s="7" t="s">
        <v>159</v>
      </c>
      <c r="D38" s="7" t="s">
        <v>160</v>
      </c>
      <c r="E38" s="21">
        <v>27.0</v>
      </c>
      <c r="F38" s="22">
        <v>92000.0</v>
      </c>
      <c r="G38" s="23">
        <f t="shared" si="1"/>
        <v>2484000</v>
      </c>
      <c r="H38" s="21"/>
    </row>
    <row r="39" ht="15.75" customHeight="1">
      <c r="A39" s="20">
        <v>36.0</v>
      </c>
      <c r="B39" s="7" t="s">
        <v>161</v>
      </c>
      <c r="C39" s="7" t="s">
        <v>162</v>
      </c>
      <c r="D39" s="7" t="s">
        <v>90</v>
      </c>
      <c r="E39" s="21">
        <v>20.0</v>
      </c>
      <c r="F39" s="22">
        <v>25000.0</v>
      </c>
      <c r="G39" s="23">
        <f t="shared" si="1"/>
        <v>500000</v>
      </c>
      <c r="H39" s="21"/>
    </row>
    <row r="40" ht="15.75" customHeight="1">
      <c r="A40" s="20">
        <v>37.0</v>
      </c>
      <c r="B40" s="7" t="s">
        <v>165</v>
      </c>
      <c r="C40" s="7" t="s">
        <v>166</v>
      </c>
      <c r="D40" s="7" t="s">
        <v>104</v>
      </c>
      <c r="E40" s="21">
        <v>172.0</v>
      </c>
      <c r="F40" s="22">
        <v>36805.0</v>
      </c>
      <c r="G40" s="23">
        <f t="shared" si="1"/>
        <v>6330460</v>
      </c>
      <c r="H40" s="21"/>
    </row>
    <row r="41" ht="15.75" customHeight="1">
      <c r="A41" s="20">
        <v>38.0</v>
      </c>
      <c r="B41" s="7" t="s">
        <v>165</v>
      </c>
      <c r="C41" s="7" t="s">
        <v>168</v>
      </c>
      <c r="D41" s="7" t="s">
        <v>104</v>
      </c>
      <c r="E41" s="21">
        <v>0.0</v>
      </c>
      <c r="F41" s="22">
        <v>0.0</v>
      </c>
      <c r="G41" s="23">
        <f t="shared" si="1"/>
        <v>0</v>
      </c>
      <c r="H41" s="21"/>
    </row>
    <row r="42" ht="15.75" customHeight="1">
      <c r="A42" s="20">
        <v>39.0</v>
      </c>
      <c r="B42" s="7" t="s">
        <v>165</v>
      </c>
      <c r="C42" s="7" t="s">
        <v>171</v>
      </c>
      <c r="D42" s="7" t="s">
        <v>104</v>
      </c>
      <c r="E42" s="21">
        <v>2.0</v>
      </c>
      <c r="F42" s="22">
        <v>41167.0</v>
      </c>
      <c r="G42" s="23">
        <f t="shared" si="1"/>
        <v>82334</v>
      </c>
      <c r="H42" s="21"/>
    </row>
    <row r="43" ht="15.75" customHeight="1">
      <c r="A43" s="20">
        <v>40.0</v>
      </c>
      <c r="B43" s="7" t="s">
        <v>165</v>
      </c>
      <c r="C43" s="7" t="s">
        <v>178</v>
      </c>
      <c r="D43" s="7" t="s">
        <v>104</v>
      </c>
      <c r="E43" s="21">
        <v>11.0</v>
      </c>
      <c r="F43" s="22">
        <v>20000.0</v>
      </c>
      <c r="G43" s="23">
        <f t="shared" si="1"/>
        <v>220000</v>
      </c>
      <c r="H43" s="21"/>
    </row>
    <row r="44" ht="15.75" customHeight="1">
      <c r="A44" s="20">
        <v>41.0</v>
      </c>
      <c r="B44" s="7" t="s">
        <v>165</v>
      </c>
      <c r="C44" s="7" t="s">
        <v>181</v>
      </c>
      <c r="D44" s="7" t="s">
        <v>104</v>
      </c>
      <c r="E44" s="21">
        <v>0.0</v>
      </c>
      <c r="F44" s="22">
        <v>0.0</v>
      </c>
      <c r="G44" s="23">
        <f t="shared" si="1"/>
        <v>0</v>
      </c>
      <c r="H44" s="21"/>
    </row>
    <row r="45" ht="15.75" customHeight="1">
      <c r="A45" s="20">
        <v>42.0</v>
      </c>
      <c r="B45" s="7" t="s">
        <v>165</v>
      </c>
      <c r="C45" s="7" t="s">
        <v>184</v>
      </c>
      <c r="D45" s="7" t="s">
        <v>104</v>
      </c>
      <c r="E45" s="21">
        <v>3.0</v>
      </c>
      <c r="F45" s="22">
        <v>41167.0</v>
      </c>
      <c r="G45" s="23">
        <f t="shared" si="1"/>
        <v>123501</v>
      </c>
      <c r="H45" s="21"/>
    </row>
    <row r="46" ht="15.75" customHeight="1">
      <c r="A46" s="20">
        <v>43.0</v>
      </c>
      <c r="B46" s="7" t="s">
        <v>165</v>
      </c>
      <c r="C46" s="7" t="s">
        <v>189</v>
      </c>
      <c r="D46" s="7" t="s">
        <v>104</v>
      </c>
      <c r="E46" s="21">
        <v>0.0</v>
      </c>
      <c r="F46" s="22">
        <v>0.0</v>
      </c>
      <c r="G46" s="23">
        <f t="shared" si="1"/>
        <v>0</v>
      </c>
      <c r="H46" s="21"/>
    </row>
    <row r="47" ht="15.75" customHeight="1">
      <c r="A47" s="20">
        <v>44.0</v>
      </c>
      <c r="B47" s="7" t="s">
        <v>165</v>
      </c>
      <c r="C47" s="7" t="s">
        <v>193</v>
      </c>
      <c r="D47" s="7" t="s">
        <v>104</v>
      </c>
      <c r="E47" s="21">
        <v>12.0</v>
      </c>
      <c r="F47" s="22">
        <v>37500.0</v>
      </c>
      <c r="G47" s="23">
        <f t="shared" si="1"/>
        <v>450000</v>
      </c>
      <c r="H47" s="21"/>
    </row>
    <row r="48" ht="15.75" customHeight="1">
      <c r="A48" s="20">
        <v>45.0</v>
      </c>
      <c r="B48" s="7" t="s">
        <v>165</v>
      </c>
      <c r="C48" s="7" t="s">
        <v>197</v>
      </c>
      <c r="D48" s="7" t="s">
        <v>104</v>
      </c>
      <c r="E48" s="21">
        <v>0.0</v>
      </c>
      <c r="F48" s="22">
        <v>0.0</v>
      </c>
      <c r="G48" s="23">
        <f t="shared" si="1"/>
        <v>0</v>
      </c>
      <c r="H48" s="21"/>
    </row>
    <row r="49" ht="15.75" customHeight="1">
      <c r="A49" s="20">
        <v>46.0</v>
      </c>
      <c r="B49" s="7" t="s">
        <v>165</v>
      </c>
      <c r="C49" s="7" t="s">
        <v>201</v>
      </c>
      <c r="D49" s="7" t="s">
        <v>104</v>
      </c>
      <c r="E49" s="21">
        <v>42.0</v>
      </c>
      <c r="F49" s="22">
        <v>40000.0</v>
      </c>
      <c r="G49" s="23">
        <f t="shared" si="1"/>
        <v>1680000</v>
      </c>
      <c r="H49" s="21"/>
    </row>
    <row r="50" ht="15.75" customHeight="1">
      <c r="A50" s="20">
        <v>47.0</v>
      </c>
      <c r="B50" s="4" t="s">
        <v>165</v>
      </c>
      <c r="C50" s="4" t="s">
        <v>205</v>
      </c>
      <c r="D50" s="4" t="s">
        <v>104</v>
      </c>
      <c r="E50" s="21">
        <v>12.0</v>
      </c>
      <c r="F50" s="22">
        <v>18500.0</v>
      </c>
      <c r="G50" s="23">
        <f t="shared" si="1"/>
        <v>222000</v>
      </c>
      <c r="H50" s="21"/>
    </row>
    <row r="51" ht="15.75" customHeight="1">
      <c r="A51" s="20">
        <v>48.0</v>
      </c>
      <c r="B51" s="37" t="s">
        <v>210</v>
      </c>
      <c r="C51" s="37" t="s">
        <v>214</v>
      </c>
      <c r="D51" s="38" t="s">
        <v>104</v>
      </c>
      <c r="E51" s="21">
        <v>52.0</v>
      </c>
      <c r="F51" s="22">
        <v>4250.0</v>
      </c>
      <c r="G51" s="23">
        <f t="shared" si="1"/>
        <v>221000</v>
      </c>
      <c r="H51" s="21"/>
    </row>
    <row r="52" ht="15.75" customHeight="1">
      <c r="A52" s="20">
        <v>49.0</v>
      </c>
      <c r="B52" s="7" t="s">
        <v>161</v>
      </c>
      <c r="C52" s="7" t="s">
        <v>216</v>
      </c>
      <c r="D52" s="7" t="s">
        <v>90</v>
      </c>
      <c r="E52" s="21">
        <v>24.0</v>
      </c>
      <c r="F52" s="22">
        <v>45000.0</v>
      </c>
      <c r="G52" s="23">
        <f t="shared" si="1"/>
        <v>1080000</v>
      </c>
      <c r="H52" s="21"/>
    </row>
    <row r="53" ht="15.75" customHeight="1"/>
    <row r="54" ht="15.75" customHeight="1">
      <c r="F54" s="26" t="s">
        <v>218</v>
      </c>
      <c r="G54" s="27">
        <f>SUM(G5:G52)</f>
        <v>121375878.8</v>
      </c>
    </row>
    <row r="55" ht="15.75" customHeight="1"/>
    <row r="56" ht="15.75" customHeight="1">
      <c r="B56" s="8" t="s">
        <v>220</v>
      </c>
    </row>
    <row r="57" ht="15.75" customHeight="1">
      <c r="B57" s="8" t="s">
        <v>221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</sheetData>
  <mergeCells count="1">
    <mergeCell ref="A1:H1"/>
  </mergeCells>
  <dataValidations>
    <dataValidation type="list" allowBlank="1" sqref="B5:B52">
      <formula1>"Beras,Minyak,Gula,Telur,Tepung,Bumbu,Mie &amp; Kemasan,Rokok,Lain-lain,Air,Bahan Dapur,Kerupuk,Makanan"</formula1>
    </dataValidation>
    <dataValidation type="decimal" operator="greaterThanOrEqual" allowBlank="1" sqref="E5:F52">
      <formula1>0.0</formula1>
    </dataValidation>
  </dataValidations>
  <printOptions/>
  <pageMargins bottom="0.5" footer="0.0" header="0.0" left="1.0" right="1.0" top="0.5"/>
  <pageSetup fitToHeight="0" paperSize="1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4.29"/>
    <col customWidth="1" min="3" max="3" width="34.14"/>
    <col customWidth="1" min="4" max="4" width="20.0"/>
    <col customWidth="1" min="5" max="5" width="41.14"/>
    <col customWidth="1" min="6" max="25" width="8.71"/>
  </cols>
  <sheetData>
    <row r="1" ht="24.0" customHeight="1">
      <c r="A1" s="1" t="s">
        <v>23</v>
      </c>
      <c r="B1" s="2"/>
      <c r="C1" s="2"/>
      <c r="D1" s="2"/>
      <c r="E1" s="3"/>
      <c r="G1" s="14"/>
    </row>
    <row r="2">
      <c r="A2" s="8" t="s">
        <v>28</v>
      </c>
    </row>
    <row r="4">
      <c r="A4" s="11"/>
      <c r="B4" s="9" t="s">
        <v>30</v>
      </c>
      <c r="C4" s="11"/>
      <c r="D4" s="11"/>
      <c r="E4" s="11"/>
    </row>
    <row r="5">
      <c r="A5" s="9" t="s">
        <v>8</v>
      </c>
      <c r="B5" s="9" t="s">
        <v>36</v>
      </c>
      <c r="C5" s="9" t="s">
        <v>38</v>
      </c>
      <c r="D5" s="9" t="s">
        <v>39</v>
      </c>
      <c r="E5" s="9" t="s">
        <v>42</v>
      </c>
    </row>
    <row r="6">
      <c r="A6" s="20">
        <v>1.0</v>
      </c>
      <c r="B6" s="20" t="s">
        <v>46</v>
      </c>
      <c r="C6" s="21"/>
      <c r="D6" s="22">
        <v>2300000.0</v>
      </c>
      <c r="E6" s="21"/>
    </row>
    <row r="7">
      <c r="A7" s="20">
        <v>2.0</v>
      </c>
      <c r="B7" s="20" t="s">
        <v>63</v>
      </c>
      <c r="C7" s="21"/>
      <c r="D7" s="22">
        <v>4298500.0</v>
      </c>
      <c r="E7" s="21"/>
    </row>
    <row r="8">
      <c r="A8" s="20">
        <v>3.0</v>
      </c>
      <c r="B8" s="20" t="s">
        <v>75</v>
      </c>
      <c r="C8" s="21"/>
      <c r="D8" s="22"/>
      <c r="E8" s="21"/>
    </row>
    <row r="9">
      <c r="A9" s="20">
        <v>4.0</v>
      </c>
      <c r="B9" s="20" t="s">
        <v>76</v>
      </c>
      <c r="C9" s="21"/>
      <c r="D9" s="22"/>
      <c r="E9" s="21"/>
    </row>
    <row r="10">
      <c r="C10" s="6" t="s">
        <v>77</v>
      </c>
      <c r="D10" s="25">
        <f>SUM(D6:D9)</f>
        <v>6598500</v>
      </c>
    </row>
    <row r="12">
      <c r="A12" s="11"/>
      <c r="B12" s="9" t="s">
        <v>81</v>
      </c>
      <c r="C12" s="11"/>
      <c r="D12" s="11"/>
      <c r="E12" s="11"/>
    </row>
    <row r="13">
      <c r="A13" s="9" t="s">
        <v>8</v>
      </c>
      <c r="B13" s="9" t="s">
        <v>36</v>
      </c>
      <c r="C13" s="9" t="s">
        <v>38</v>
      </c>
      <c r="D13" s="9" t="s">
        <v>39</v>
      </c>
      <c r="E13" s="9" t="s">
        <v>42</v>
      </c>
    </row>
    <row r="14">
      <c r="A14" s="20">
        <v>1.0</v>
      </c>
      <c r="B14" s="20" t="s">
        <v>83</v>
      </c>
      <c r="C14" s="21" t="s">
        <v>84</v>
      </c>
      <c r="D14" s="22">
        <v>500000.0</v>
      </c>
      <c r="E14" s="21"/>
    </row>
    <row r="15">
      <c r="A15" s="20">
        <v>2.0</v>
      </c>
      <c r="B15" s="20" t="s">
        <v>86</v>
      </c>
      <c r="C15" s="21"/>
      <c r="D15" s="22"/>
      <c r="E15" s="21"/>
    </row>
    <row r="16">
      <c r="A16" s="20">
        <v>3.0</v>
      </c>
      <c r="B16" s="20" t="s">
        <v>87</v>
      </c>
      <c r="C16" s="21"/>
      <c r="D16" s="22"/>
      <c r="E16" s="21"/>
    </row>
    <row r="17">
      <c r="C17" s="6" t="s">
        <v>88</v>
      </c>
      <c r="D17" s="25">
        <f>SUM(D14:D16)</f>
        <v>500000</v>
      </c>
    </row>
    <row r="19">
      <c r="A19" s="11"/>
      <c r="B19" s="9" t="s">
        <v>91</v>
      </c>
      <c r="C19" s="11"/>
      <c r="D19" s="11"/>
      <c r="E19" s="11"/>
    </row>
    <row r="20">
      <c r="A20" s="9" t="s">
        <v>8</v>
      </c>
      <c r="B20" s="9" t="s">
        <v>36</v>
      </c>
      <c r="C20" s="9" t="s">
        <v>38</v>
      </c>
      <c r="D20" s="9" t="s">
        <v>39</v>
      </c>
      <c r="E20" s="9" t="s">
        <v>42</v>
      </c>
    </row>
    <row r="21" ht="15.75" customHeight="1">
      <c r="A21" s="20">
        <v>1.0</v>
      </c>
      <c r="B21" s="20" t="s">
        <v>93</v>
      </c>
      <c r="C21" s="21"/>
      <c r="D21" s="22"/>
      <c r="E21" s="21"/>
    </row>
    <row r="22" ht="15.75" customHeight="1">
      <c r="A22" s="20">
        <v>2.0</v>
      </c>
      <c r="B22" s="20" t="s">
        <v>95</v>
      </c>
      <c r="C22" s="21" t="s">
        <v>96</v>
      </c>
      <c r="D22" s="22">
        <v>562500.0</v>
      </c>
      <c r="E22" s="21"/>
    </row>
    <row r="23" ht="15.75" customHeight="1">
      <c r="A23" s="20">
        <v>3.0</v>
      </c>
      <c r="B23" s="20" t="s">
        <v>97</v>
      </c>
      <c r="C23" s="21"/>
      <c r="D23" s="22"/>
      <c r="E23" s="21"/>
    </row>
    <row r="24" ht="15.75" customHeight="1">
      <c r="C24" s="6" t="s">
        <v>99</v>
      </c>
      <c r="D24" s="25">
        <f>SUM(D21:D23)</f>
        <v>562500</v>
      </c>
    </row>
    <row r="25" ht="15.75" customHeight="1"/>
    <row r="26" ht="15.75" customHeight="1">
      <c r="C26" s="26" t="s">
        <v>100</v>
      </c>
      <c r="D26" s="27">
        <f>D10+D17+D24</f>
        <v>7661000</v>
      </c>
    </row>
    <row r="27" ht="15.75" customHeight="1"/>
    <row r="28" ht="15.75" customHeight="1">
      <c r="B28" s="28"/>
    </row>
    <row r="29" ht="19.5" customHeight="1">
      <c r="B29" s="7"/>
      <c r="D29" s="29"/>
    </row>
    <row r="30" ht="19.5" customHeight="1">
      <c r="B30" s="7"/>
      <c r="D30" s="29"/>
    </row>
    <row r="31" ht="19.5" customHeight="1">
      <c r="B31" s="7"/>
      <c r="D31" s="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B29:C29"/>
    <mergeCell ref="B30:C30"/>
    <mergeCell ref="B31:C31"/>
  </mergeCells>
  <dataValidations>
    <dataValidation type="decimal" operator="greaterThanOrEqual" allowBlank="1" sqref="D6:D9 D14:D16 D21:D23">
      <formula1>0.0</formula1>
    </dataValidation>
  </dataValidations>
  <printOptions/>
  <pageMargins bottom="1.0" footer="0.0" header="0.0" left="0.5" right="0.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8.0"/>
    <col customWidth="1" min="4" max="4" width="20.0"/>
    <col customWidth="1" min="5" max="5" width="16.0"/>
    <col customWidth="1" min="6" max="6" width="30.0"/>
    <col customWidth="1" min="7" max="26" width="8.71"/>
  </cols>
  <sheetData>
    <row r="1" ht="24.0" customHeight="1">
      <c r="A1" s="1" t="s">
        <v>16</v>
      </c>
      <c r="B1" s="2"/>
      <c r="C1" s="2"/>
      <c r="D1" s="2"/>
      <c r="E1" s="2"/>
      <c r="F1" s="3"/>
      <c r="H1" s="17" t="s">
        <v>26</v>
      </c>
    </row>
    <row r="2">
      <c r="A2" s="8" t="s">
        <v>34</v>
      </c>
    </row>
    <row r="4">
      <c r="A4" s="11"/>
      <c r="B4" s="9" t="s">
        <v>40</v>
      </c>
      <c r="C4" s="11"/>
      <c r="D4" s="11"/>
      <c r="E4" s="11"/>
      <c r="F4" s="11"/>
    </row>
    <row r="5" ht="30.0" customHeight="1">
      <c r="A5" s="9" t="s">
        <v>8</v>
      </c>
      <c r="B5" s="9" t="s">
        <v>50</v>
      </c>
      <c r="C5" s="9" t="s">
        <v>51</v>
      </c>
      <c r="D5" s="9" t="s">
        <v>39</v>
      </c>
      <c r="E5" s="9" t="s">
        <v>53</v>
      </c>
      <c r="F5" s="9" t="s">
        <v>42</v>
      </c>
    </row>
    <row r="6">
      <c r="A6" s="15">
        <v>1.0</v>
      </c>
      <c r="B6" s="15" t="s">
        <v>56</v>
      </c>
      <c r="C6" s="15" t="s">
        <v>58</v>
      </c>
      <c r="D6" s="19">
        <v>4500000.0</v>
      </c>
      <c r="E6" s="15" t="s">
        <v>62</v>
      </c>
      <c r="F6" s="15" t="s">
        <v>65</v>
      </c>
    </row>
    <row r="7">
      <c r="A7" s="20">
        <v>1.0</v>
      </c>
      <c r="B7" s="21" t="s">
        <v>70</v>
      </c>
      <c r="C7" s="21" t="s">
        <v>58</v>
      </c>
      <c r="D7" s="22">
        <v>1734000.0</v>
      </c>
      <c r="E7" s="21" t="s">
        <v>74</v>
      </c>
      <c r="F7" s="21"/>
    </row>
    <row r="8">
      <c r="A8" s="20">
        <v>2.0</v>
      </c>
      <c r="B8" s="21"/>
      <c r="C8" s="21"/>
      <c r="D8" s="22"/>
      <c r="E8" s="21"/>
      <c r="F8" s="21"/>
    </row>
    <row r="9">
      <c r="A9" s="20">
        <v>3.0</v>
      </c>
      <c r="B9" s="21"/>
      <c r="C9" s="21"/>
      <c r="D9" s="22"/>
      <c r="E9" s="21"/>
      <c r="F9" s="21"/>
    </row>
    <row r="10">
      <c r="A10" s="20">
        <v>4.0</v>
      </c>
      <c r="B10" s="21"/>
      <c r="C10" s="21"/>
      <c r="D10" s="22"/>
      <c r="E10" s="21"/>
      <c r="F10" s="21"/>
    </row>
    <row r="11">
      <c r="A11" s="20">
        <v>5.0</v>
      </c>
      <c r="B11" s="21"/>
      <c r="C11" s="21"/>
      <c r="D11" s="22"/>
      <c r="E11" s="21"/>
      <c r="F11" s="21"/>
    </row>
    <row r="12">
      <c r="A12" s="20">
        <v>6.0</v>
      </c>
      <c r="B12" s="21"/>
      <c r="C12" s="21"/>
      <c r="D12" s="22"/>
      <c r="E12" s="21"/>
      <c r="F12" s="21"/>
    </row>
    <row r="13">
      <c r="A13" s="20">
        <v>7.0</v>
      </c>
      <c r="B13" s="21"/>
      <c r="C13" s="21"/>
      <c r="D13" s="22"/>
      <c r="E13" s="21"/>
      <c r="F13" s="21"/>
    </row>
    <row r="14">
      <c r="A14" s="20">
        <v>8.0</v>
      </c>
      <c r="B14" s="21"/>
      <c r="C14" s="21"/>
      <c r="D14" s="22"/>
      <c r="E14" s="21"/>
      <c r="F14" s="21"/>
    </row>
    <row r="15">
      <c r="A15" s="20">
        <v>9.0</v>
      </c>
      <c r="B15" s="21"/>
      <c r="C15" s="21"/>
      <c r="D15" s="22"/>
      <c r="E15" s="21"/>
      <c r="F15" s="21"/>
    </row>
    <row r="16">
      <c r="A16" s="20">
        <v>10.0</v>
      </c>
      <c r="B16" s="21"/>
      <c r="C16" s="21"/>
      <c r="D16" s="22"/>
      <c r="E16" s="21"/>
      <c r="F16" s="21"/>
    </row>
    <row r="17">
      <c r="A17" s="20">
        <v>11.0</v>
      </c>
      <c r="B17" s="21"/>
      <c r="C17" s="21"/>
      <c r="D17" s="22"/>
      <c r="E17" s="21"/>
      <c r="F17" s="21"/>
    </row>
    <row r="18">
      <c r="A18" s="20">
        <v>12.0</v>
      </c>
      <c r="B18" s="21"/>
      <c r="C18" s="21"/>
      <c r="D18" s="22"/>
      <c r="E18" s="21"/>
      <c r="F18" s="21"/>
    </row>
    <row r="19">
      <c r="A19" s="20">
        <v>13.0</v>
      </c>
      <c r="B19" s="21"/>
      <c r="C19" s="21"/>
      <c r="D19" s="22"/>
      <c r="E19" s="21"/>
      <c r="F19" s="21"/>
    </row>
    <row r="20">
      <c r="A20" s="20">
        <v>14.0</v>
      </c>
      <c r="B20" s="21"/>
      <c r="C20" s="21"/>
      <c r="D20" s="22"/>
      <c r="E20" s="21"/>
      <c r="F20" s="21"/>
    </row>
    <row r="21" ht="15.75" customHeight="1">
      <c r="A21" s="20">
        <v>15.0</v>
      </c>
      <c r="B21" s="21"/>
      <c r="C21" s="21"/>
      <c r="D21" s="22"/>
      <c r="E21" s="21"/>
      <c r="F21" s="21"/>
    </row>
    <row r="22" ht="15.75" customHeight="1">
      <c r="A22" s="20">
        <v>16.0</v>
      </c>
      <c r="B22" s="21"/>
      <c r="C22" s="21"/>
      <c r="D22" s="22"/>
      <c r="E22" s="21"/>
      <c r="F22" s="21"/>
    </row>
    <row r="23" ht="15.75" customHeight="1">
      <c r="A23" s="20">
        <v>17.0</v>
      </c>
      <c r="B23" s="21"/>
      <c r="C23" s="21"/>
      <c r="D23" s="22"/>
      <c r="E23" s="21"/>
      <c r="F23" s="21"/>
    </row>
    <row r="24" ht="15.75" customHeight="1">
      <c r="A24" s="20">
        <v>18.0</v>
      </c>
      <c r="B24" s="21"/>
      <c r="C24" s="21"/>
      <c r="D24" s="22"/>
      <c r="E24" s="21"/>
      <c r="F24" s="21"/>
    </row>
    <row r="25" ht="15.75" customHeight="1">
      <c r="A25" s="20">
        <v>19.0</v>
      </c>
      <c r="B25" s="21"/>
      <c r="C25" s="21"/>
      <c r="D25" s="22"/>
      <c r="E25" s="21"/>
      <c r="F25" s="21"/>
    </row>
    <row r="26" ht="15.75" customHeight="1">
      <c r="A26" s="20">
        <v>20.0</v>
      </c>
      <c r="B26" s="21"/>
      <c r="C26" s="21"/>
      <c r="D26" s="22"/>
      <c r="E26" s="21"/>
      <c r="F26" s="21"/>
    </row>
    <row r="27" ht="15.75" customHeight="1">
      <c r="A27" s="20">
        <v>21.0</v>
      </c>
      <c r="B27" s="21"/>
      <c r="C27" s="21"/>
      <c r="D27" s="22"/>
      <c r="E27" s="21"/>
      <c r="F27" s="21"/>
    </row>
    <row r="28" ht="15.75" customHeight="1">
      <c r="A28" s="20">
        <v>22.0</v>
      </c>
      <c r="B28" s="21"/>
      <c r="C28" s="21"/>
      <c r="D28" s="22"/>
      <c r="E28" s="21"/>
      <c r="F28" s="21"/>
    </row>
    <row r="29" ht="15.75" customHeight="1">
      <c r="A29" s="20">
        <v>23.0</v>
      </c>
      <c r="B29" s="21"/>
      <c r="C29" s="21"/>
      <c r="D29" s="22"/>
      <c r="E29" s="21"/>
      <c r="F29" s="21"/>
    </row>
    <row r="30" ht="15.75" customHeight="1">
      <c r="A30" s="20">
        <v>24.0</v>
      </c>
      <c r="B30" s="21"/>
      <c r="C30" s="21"/>
      <c r="D30" s="22"/>
      <c r="E30" s="21"/>
      <c r="F30" s="21"/>
    </row>
    <row r="31" ht="15.75" customHeight="1">
      <c r="A31" s="20">
        <v>25.0</v>
      </c>
      <c r="B31" s="21"/>
      <c r="C31" s="21"/>
      <c r="D31" s="22"/>
      <c r="E31" s="21"/>
      <c r="F31" s="21"/>
    </row>
    <row r="32" ht="15.75" customHeight="1">
      <c r="A32" s="20">
        <v>26.0</v>
      </c>
      <c r="B32" s="21"/>
      <c r="C32" s="21"/>
      <c r="D32" s="22"/>
      <c r="E32" s="21"/>
      <c r="F32" s="21"/>
    </row>
    <row r="33" ht="15.75" customHeight="1">
      <c r="A33" s="20">
        <v>27.0</v>
      </c>
      <c r="B33" s="21"/>
      <c r="C33" s="21"/>
      <c r="D33" s="22"/>
      <c r="E33" s="21"/>
      <c r="F33" s="21"/>
    </row>
    <row r="34" ht="15.75" customHeight="1">
      <c r="A34" s="20">
        <v>28.0</v>
      </c>
      <c r="B34" s="21"/>
      <c r="C34" s="21"/>
      <c r="D34" s="22"/>
      <c r="E34" s="21"/>
      <c r="F34" s="21"/>
    </row>
    <row r="35" ht="15.75" customHeight="1">
      <c r="A35" s="20">
        <v>29.0</v>
      </c>
      <c r="B35" s="21"/>
      <c r="C35" s="21"/>
      <c r="D35" s="22"/>
      <c r="E35" s="21"/>
      <c r="F35" s="21"/>
    </row>
    <row r="36" ht="15.75" customHeight="1">
      <c r="A36" s="20">
        <v>30.0</v>
      </c>
      <c r="B36" s="21"/>
      <c r="C36" s="21"/>
      <c r="D36" s="22"/>
      <c r="E36" s="21"/>
      <c r="F36" s="21"/>
    </row>
    <row r="37" ht="15.75" customHeight="1">
      <c r="C37" s="26" t="s">
        <v>110</v>
      </c>
      <c r="D37" s="27">
        <f>SUM(D7:D36)</f>
        <v>1734000</v>
      </c>
    </row>
    <row r="38" ht="15.75" customHeight="1"/>
    <row r="39" ht="15.75" customHeight="1"/>
    <row r="40" ht="15.75" customHeight="1">
      <c r="A40" s="11"/>
      <c r="B40" s="9" t="s">
        <v>113</v>
      </c>
      <c r="C40" s="11"/>
      <c r="D40" s="11"/>
      <c r="E40" s="11"/>
      <c r="F40" s="11"/>
    </row>
    <row r="41" ht="30.0" customHeight="1">
      <c r="A41" s="9" t="s">
        <v>8</v>
      </c>
      <c r="B41" s="9" t="s">
        <v>118</v>
      </c>
      <c r="C41" s="9" t="s">
        <v>51</v>
      </c>
      <c r="D41" s="9" t="s">
        <v>39</v>
      </c>
      <c r="E41" s="9" t="s">
        <v>53</v>
      </c>
      <c r="F41" s="9" t="s">
        <v>42</v>
      </c>
    </row>
    <row r="42" ht="15.75" customHeight="1">
      <c r="A42" s="15">
        <v>1.0</v>
      </c>
      <c r="B42" s="15" t="s">
        <v>121</v>
      </c>
      <c r="C42" s="15" t="s">
        <v>123</v>
      </c>
      <c r="D42" s="19">
        <v>8500000.0</v>
      </c>
      <c r="E42" s="15" t="s">
        <v>125</v>
      </c>
      <c r="F42" s="15" t="s">
        <v>127</v>
      </c>
    </row>
    <row r="43" ht="15.75" customHeight="1">
      <c r="A43" s="20">
        <v>1.0</v>
      </c>
      <c r="B43" s="21"/>
      <c r="C43" s="21"/>
      <c r="D43" s="22"/>
      <c r="E43" s="21"/>
      <c r="F43" s="21"/>
    </row>
    <row r="44" ht="15.75" customHeight="1">
      <c r="A44" s="20">
        <v>2.0</v>
      </c>
      <c r="B44" s="21"/>
      <c r="C44" s="21"/>
      <c r="D44" s="22"/>
      <c r="E44" s="21"/>
      <c r="F44" s="21"/>
    </row>
    <row r="45" ht="15.75" customHeight="1">
      <c r="A45" s="20">
        <v>3.0</v>
      </c>
      <c r="B45" s="21"/>
      <c r="C45" s="21"/>
      <c r="D45" s="22"/>
      <c r="E45" s="21"/>
      <c r="F45" s="21"/>
    </row>
    <row r="46" ht="15.75" customHeight="1">
      <c r="A46" s="20">
        <v>4.0</v>
      </c>
      <c r="B46" s="21"/>
      <c r="C46" s="21"/>
      <c r="D46" s="22"/>
      <c r="E46" s="21"/>
      <c r="F46" s="21"/>
    </row>
    <row r="47" ht="15.75" customHeight="1">
      <c r="A47" s="20">
        <v>5.0</v>
      </c>
      <c r="B47" s="21"/>
      <c r="C47" s="21"/>
      <c r="D47" s="22"/>
      <c r="E47" s="21"/>
      <c r="F47" s="21"/>
    </row>
    <row r="48" ht="15.75" customHeight="1">
      <c r="A48" s="20">
        <v>6.0</v>
      </c>
      <c r="B48" s="21"/>
      <c r="C48" s="21"/>
      <c r="D48" s="22"/>
      <c r="E48" s="21"/>
      <c r="F48" s="21"/>
    </row>
    <row r="49" ht="15.75" customHeight="1">
      <c r="A49" s="20">
        <v>7.0</v>
      </c>
      <c r="B49" s="21"/>
      <c r="C49" s="21"/>
      <c r="D49" s="22"/>
      <c r="E49" s="21"/>
      <c r="F49" s="21"/>
    </row>
    <row r="50" ht="15.75" customHeight="1">
      <c r="A50" s="20">
        <v>8.0</v>
      </c>
      <c r="B50" s="21"/>
      <c r="C50" s="21"/>
      <c r="D50" s="22"/>
      <c r="E50" s="21"/>
      <c r="F50" s="21"/>
    </row>
    <row r="51" ht="15.75" customHeight="1">
      <c r="A51" s="20">
        <v>9.0</v>
      </c>
      <c r="B51" s="21"/>
      <c r="C51" s="21"/>
      <c r="D51" s="22"/>
      <c r="E51" s="21"/>
      <c r="F51" s="21"/>
    </row>
    <row r="52" ht="15.75" customHeight="1">
      <c r="A52" s="20">
        <v>10.0</v>
      </c>
      <c r="B52" s="21"/>
      <c r="C52" s="21"/>
      <c r="D52" s="22"/>
      <c r="E52" s="21"/>
      <c r="F52" s="21"/>
    </row>
    <row r="53" ht="15.75" customHeight="1">
      <c r="A53" s="20">
        <v>11.0</v>
      </c>
      <c r="B53" s="21"/>
      <c r="C53" s="21"/>
      <c r="D53" s="22"/>
      <c r="E53" s="21"/>
      <c r="F53" s="21"/>
    </row>
    <row r="54" ht="15.75" customHeight="1">
      <c r="A54" s="20">
        <v>12.0</v>
      </c>
      <c r="B54" s="21"/>
      <c r="C54" s="21"/>
      <c r="D54" s="22"/>
      <c r="E54" s="21"/>
      <c r="F54" s="21"/>
    </row>
    <row r="55" ht="15.75" customHeight="1">
      <c r="A55" s="20">
        <v>13.0</v>
      </c>
      <c r="B55" s="21"/>
      <c r="C55" s="21"/>
      <c r="D55" s="22"/>
      <c r="E55" s="21"/>
      <c r="F55" s="21"/>
    </row>
    <row r="56" ht="15.75" customHeight="1">
      <c r="A56" s="20">
        <v>14.0</v>
      </c>
      <c r="B56" s="21"/>
      <c r="C56" s="21"/>
      <c r="D56" s="22"/>
      <c r="E56" s="21"/>
      <c r="F56" s="21"/>
    </row>
    <row r="57" ht="15.75" customHeight="1">
      <c r="A57" s="20">
        <v>15.0</v>
      </c>
      <c r="B57" s="21"/>
      <c r="C57" s="21"/>
      <c r="D57" s="22"/>
      <c r="E57" s="21"/>
      <c r="F57" s="21"/>
    </row>
    <row r="58" ht="15.75" customHeight="1">
      <c r="A58" s="20">
        <v>16.0</v>
      </c>
      <c r="B58" s="21"/>
      <c r="C58" s="21"/>
      <c r="D58" s="22"/>
      <c r="E58" s="21"/>
      <c r="F58" s="21"/>
    </row>
    <row r="59" ht="15.75" customHeight="1">
      <c r="A59" s="20">
        <v>17.0</v>
      </c>
      <c r="B59" s="21"/>
      <c r="C59" s="21"/>
      <c r="D59" s="22"/>
      <c r="E59" s="21"/>
      <c r="F59" s="21"/>
    </row>
    <row r="60" ht="15.75" customHeight="1">
      <c r="A60" s="20">
        <v>18.0</v>
      </c>
      <c r="B60" s="21"/>
      <c r="C60" s="21"/>
      <c r="D60" s="22"/>
      <c r="E60" s="21"/>
      <c r="F60" s="21"/>
    </row>
    <row r="61" ht="15.75" customHeight="1">
      <c r="A61" s="20">
        <v>19.0</v>
      </c>
      <c r="B61" s="21"/>
      <c r="C61" s="21"/>
      <c r="D61" s="22"/>
      <c r="E61" s="21"/>
      <c r="F61" s="21"/>
    </row>
    <row r="62" ht="15.75" customHeight="1">
      <c r="A62" s="20">
        <v>20.0</v>
      </c>
      <c r="B62" s="21"/>
      <c r="C62" s="21"/>
      <c r="D62" s="22"/>
      <c r="E62" s="21"/>
      <c r="F62" s="21"/>
    </row>
    <row r="63" ht="15.75" customHeight="1">
      <c r="A63" s="20">
        <v>21.0</v>
      </c>
      <c r="B63" s="21"/>
      <c r="C63" s="21"/>
      <c r="D63" s="22"/>
      <c r="E63" s="21"/>
      <c r="F63" s="21"/>
    </row>
    <row r="64" ht="15.75" customHeight="1">
      <c r="A64" s="20">
        <v>22.0</v>
      </c>
      <c r="B64" s="21"/>
      <c r="C64" s="21"/>
      <c r="D64" s="22"/>
      <c r="E64" s="21"/>
      <c r="F64" s="21"/>
    </row>
    <row r="65" ht="15.75" customHeight="1">
      <c r="A65" s="20">
        <v>23.0</v>
      </c>
      <c r="B65" s="21"/>
      <c r="C65" s="21"/>
      <c r="D65" s="22"/>
      <c r="E65" s="21"/>
      <c r="F65" s="21"/>
    </row>
    <row r="66" ht="15.75" customHeight="1">
      <c r="A66" s="20">
        <v>24.0</v>
      </c>
      <c r="B66" s="21"/>
      <c r="C66" s="21"/>
      <c r="D66" s="22"/>
      <c r="E66" s="21"/>
      <c r="F66" s="21"/>
    </row>
    <row r="67" ht="15.75" customHeight="1">
      <c r="A67" s="20">
        <v>25.0</v>
      </c>
      <c r="B67" s="21"/>
      <c r="C67" s="21"/>
      <c r="D67" s="22"/>
      <c r="E67" s="21"/>
      <c r="F67" s="21"/>
    </row>
    <row r="68" ht="15.75" customHeight="1">
      <c r="A68" s="20">
        <v>26.0</v>
      </c>
      <c r="B68" s="21"/>
      <c r="C68" s="21"/>
      <c r="D68" s="22"/>
      <c r="E68" s="21"/>
      <c r="F68" s="21"/>
    </row>
    <row r="69" ht="15.75" customHeight="1">
      <c r="A69" s="20">
        <v>27.0</v>
      </c>
      <c r="B69" s="21"/>
      <c r="C69" s="21"/>
      <c r="D69" s="22"/>
      <c r="E69" s="21"/>
      <c r="F69" s="21"/>
    </row>
    <row r="70" ht="15.75" customHeight="1">
      <c r="A70" s="20">
        <v>28.0</v>
      </c>
      <c r="B70" s="21"/>
      <c r="C70" s="21"/>
      <c r="D70" s="22"/>
      <c r="E70" s="21"/>
      <c r="F70" s="21"/>
    </row>
    <row r="71" ht="15.75" customHeight="1">
      <c r="A71" s="20">
        <v>29.0</v>
      </c>
      <c r="B71" s="21"/>
      <c r="C71" s="21"/>
      <c r="D71" s="22"/>
      <c r="E71" s="21"/>
      <c r="F71" s="21"/>
    </row>
    <row r="72" ht="15.75" customHeight="1">
      <c r="A72" s="20">
        <v>30.0</v>
      </c>
      <c r="B72" s="21"/>
      <c r="C72" s="21"/>
      <c r="D72" s="22"/>
      <c r="E72" s="21"/>
      <c r="F72" s="21"/>
    </row>
    <row r="73" ht="15.75" customHeight="1">
      <c r="C73" s="26" t="s">
        <v>164</v>
      </c>
      <c r="D73" s="27">
        <f>SUM(D43:D72)</f>
        <v>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decimal" operator="greaterThanOrEqual" allowBlank="1" sqref="D6:D36 D42:D72">
      <formula1>0.0</formula1>
    </dataValidation>
  </dataValidations>
  <hyperlinks>
    <hyperlink display="Petunjuk" location="'00_PETUNJUK'!A1" ref="H1"/>
  </hyperlinks>
  <printOptions/>
  <pageMargins bottom="0.5" footer="0.0" header="0.0" left="0.4" right="0.4" top="0.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66.14"/>
    <col customWidth="1" min="3" max="3" width="24.0"/>
    <col customWidth="1" min="4" max="4" width="40.0"/>
    <col customWidth="1" min="5" max="24" width="8.71"/>
  </cols>
  <sheetData>
    <row r="1" ht="24.0" customHeight="1">
      <c r="A1" s="1" t="s">
        <v>106</v>
      </c>
      <c r="B1" s="2"/>
      <c r="C1" s="2"/>
      <c r="D1" s="3"/>
      <c r="F1" s="14"/>
    </row>
    <row r="2">
      <c r="A2" s="8" t="s">
        <v>107</v>
      </c>
    </row>
    <row r="4">
      <c r="A4" s="11"/>
      <c r="B4" s="9" t="s">
        <v>109</v>
      </c>
      <c r="C4" s="11"/>
      <c r="D4" s="11"/>
    </row>
    <row r="5">
      <c r="B5" s="7" t="s">
        <v>111</v>
      </c>
      <c r="C5" s="30">
        <f>'01_MODAL_BARANG'!G54</f>
        <v>121375878.8</v>
      </c>
      <c r="D5" s="8" t="s">
        <v>114</v>
      </c>
    </row>
    <row r="6">
      <c r="B6" s="7" t="s">
        <v>115</v>
      </c>
      <c r="C6" s="30">
        <f>'02_MODAL_UANG'!D26</f>
        <v>7661000</v>
      </c>
      <c r="D6" s="8" t="s">
        <v>119</v>
      </c>
    </row>
    <row r="7">
      <c r="B7" s="7" t="s">
        <v>120</v>
      </c>
      <c r="C7" s="30">
        <f>'03_PIUTANG_HUTANG'!D37</f>
        <v>1734000</v>
      </c>
      <c r="D7" s="8" t="s">
        <v>126</v>
      </c>
    </row>
    <row r="8">
      <c r="B8" s="26" t="s">
        <v>128</v>
      </c>
      <c r="C8" s="31">
        <f>C5+C6+C7</f>
        <v>130770878.8</v>
      </c>
    </row>
    <row r="10">
      <c r="A10" s="11"/>
      <c r="B10" s="9" t="s">
        <v>130</v>
      </c>
      <c r="C10" s="11"/>
      <c r="D10" s="11"/>
    </row>
    <row r="11">
      <c r="B11" s="7" t="s">
        <v>131</v>
      </c>
      <c r="C11" s="30">
        <f>'03_PIUTANG_HUTANG'!D73</f>
        <v>0</v>
      </c>
      <c r="D11" s="8" t="s">
        <v>126</v>
      </c>
    </row>
    <row r="12">
      <c r="B12" s="26" t="s">
        <v>132</v>
      </c>
      <c r="C12" s="31">
        <f>C11</f>
        <v>0</v>
      </c>
    </row>
    <row r="14">
      <c r="A14" s="11"/>
      <c r="B14" s="9" t="s">
        <v>134</v>
      </c>
      <c r="C14" s="11"/>
      <c r="D14" s="11"/>
    </row>
    <row r="15" ht="15.75" customHeight="1">
      <c r="B15" s="26" t="s">
        <v>135</v>
      </c>
      <c r="C15" s="32">
        <f>C8-C12</f>
        <v>130770878.8</v>
      </c>
    </row>
    <row r="18">
      <c r="B18" s="26" t="s">
        <v>137</v>
      </c>
    </row>
    <row r="19">
      <c r="B19" s="7" t="s">
        <v>138</v>
      </c>
    </row>
    <row r="20">
      <c r="B20" s="7" t="s">
        <v>139</v>
      </c>
    </row>
    <row r="21" ht="15.75" customHeight="1"/>
    <row r="22" ht="15.75" customHeight="1">
      <c r="B22" s="6" t="s">
        <v>140</v>
      </c>
    </row>
    <row r="23" ht="15.75" customHeight="1">
      <c r="B23" s="7" t="s">
        <v>142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5" right="0.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6.86"/>
    <col customWidth="1" min="3" max="3" width="20.0"/>
    <col customWidth="1" min="4" max="4" width="40.0"/>
    <col customWidth="1" min="5" max="26" width="8.71"/>
  </cols>
  <sheetData>
    <row r="1" ht="24.0" customHeight="1">
      <c r="A1" s="1" t="s">
        <v>155</v>
      </c>
      <c r="B1" s="2"/>
      <c r="C1" s="2"/>
      <c r="D1" s="3"/>
      <c r="E1" s="33"/>
      <c r="F1" s="17" t="s">
        <v>26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8" t="s">
        <v>163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30.0" customHeight="1">
      <c r="A3" s="9" t="s">
        <v>8</v>
      </c>
      <c r="B3" s="9" t="s">
        <v>167</v>
      </c>
      <c r="C3" s="9" t="s">
        <v>169</v>
      </c>
      <c r="D3" s="9" t="s">
        <v>42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20">
        <v>1.0</v>
      </c>
      <c r="B4" s="20" t="s">
        <v>172</v>
      </c>
      <c r="C4" s="22">
        <v>1500000.0</v>
      </c>
      <c r="D4" s="21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20">
        <v>2.0</v>
      </c>
      <c r="B5" s="20" t="s">
        <v>180</v>
      </c>
      <c r="C5" s="22">
        <v>6000000.0</v>
      </c>
      <c r="D5" s="21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4.25" customHeight="1">
      <c r="A6" s="20">
        <v>3.0</v>
      </c>
      <c r="B6" s="20" t="s">
        <v>185</v>
      </c>
      <c r="C6" s="22">
        <v>500000.0</v>
      </c>
      <c r="D6" s="2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20">
        <v>4.0</v>
      </c>
      <c r="B7" s="20" t="s">
        <v>191</v>
      </c>
      <c r="C7" s="22">
        <v>100000.0</v>
      </c>
      <c r="D7" s="21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4.25" customHeight="1">
      <c r="A8" s="20">
        <v>5.0</v>
      </c>
      <c r="B8" s="20" t="s">
        <v>195</v>
      </c>
      <c r="C8" s="22">
        <v>0.0</v>
      </c>
      <c r="D8" s="21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20">
        <v>6.0</v>
      </c>
      <c r="B9" s="20" t="s">
        <v>199</v>
      </c>
      <c r="C9" s="22">
        <v>300000.0</v>
      </c>
      <c r="D9" s="21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4.25" customHeight="1">
      <c r="A10" s="20">
        <v>7.0</v>
      </c>
      <c r="B10" s="20" t="s">
        <v>203</v>
      </c>
      <c r="C10" s="22">
        <v>0.0</v>
      </c>
      <c r="D10" s="21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20">
        <v>8.0</v>
      </c>
      <c r="B11" s="20" t="s">
        <v>207</v>
      </c>
      <c r="C11" s="22">
        <v>0.0</v>
      </c>
      <c r="D11" s="2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0">
        <v>9.0</v>
      </c>
      <c r="B12" s="20" t="s">
        <v>213</v>
      </c>
      <c r="C12" s="22">
        <v>500000.0</v>
      </c>
      <c r="D12" s="21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20">
        <v>10.0</v>
      </c>
      <c r="B13" s="20" t="s">
        <v>215</v>
      </c>
      <c r="C13" s="22">
        <v>100000.0</v>
      </c>
      <c r="D13" s="21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0">
        <v>11.0</v>
      </c>
      <c r="B14" s="20" t="s">
        <v>217</v>
      </c>
      <c r="C14" s="22">
        <v>300000.0</v>
      </c>
      <c r="D14" s="21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0" customHeight="1">
      <c r="A15" s="33"/>
      <c r="B15" s="26" t="s">
        <v>219</v>
      </c>
      <c r="C15" s="27">
        <f>SUM(C4:C14)</f>
        <v>9300000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0" customHeight="1">
      <c r="A18" s="11"/>
      <c r="B18" s="9" t="s">
        <v>222</v>
      </c>
      <c r="C18" s="11"/>
      <c r="D18" s="11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33"/>
      <c r="B19" s="7" t="s">
        <v>223</v>
      </c>
      <c r="C19" s="39">
        <v>0.073</v>
      </c>
      <c r="D19" s="8" t="s">
        <v>224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33"/>
      <c r="B20" s="6" t="s">
        <v>226</v>
      </c>
      <c r="C20" s="40">
        <f>IF(C19=0,0,C15/C19)</f>
        <v>127397260.3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33"/>
      <c r="B21" s="6" t="s">
        <v>231</v>
      </c>
      <c r="C21" s="40">
        <f>IF(C19=0,0,C15/C19/30)</f>
        <v>4246575.342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1:D1"/>
  </mergeCells>
  <dataValidations>
    <dataValidation type="decimal" operator="greaterThanOrEqual" allowBlank="1" sqref="C4:C14">
      <formula1>0.0</formula1>
    </dataValidation>
  </dataValidations>
  <hyperlinks>
    <hyperlink display="Petunjuk" location="'00_PETUNJUK'!A1" ref="F1"/>
  </hyperlinks>
  <printOptions/>
  <pageMargins bottom="1.0" footer="0.0" header="0.0" left="0.5" right="0.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66.0"/>
    <col customWidth="1" min="3" max="3" width="18.0"/>
    <col customWidth="1" min="4" max="4" width="30.0"/>
    <col customWidth="1" min="5" max="26" width="8.71"/>
  </cols>
  <sheetData>
    <row r="1" ht="24.0" customHeight="1">
      <c r="A1" s="1" t="s">
        <v>170</v>
      </c>
      <c r="B1" s="2"/>
      <c r="C1" s="2"/>
      <c r="D1" s="3"/>
      <c r="F1" s="17" t="s">
        <v>26</v>
      </c>
    </row>
    <row r="2">
      <c r="A2" s="8" t="s">
        <v>173</v>
      </c>
    </row>
    <row r="3" ht="30.0" customHeight="1">
      <c r="A3" s="9" t="s">
        <v>8</v>
      </c>
      <c r="B3" s="9" t="s">
        <v>174</v>
      </c>
      <c r="C3" s="9" t="s">
        <v>175</v>
      </c>
      <c r="D3" s="9" t="s">
        <v>176</v>
      </c>
    </row>
    <row r="4" ht="27.75" customHeight="1">
      <c r="A4" s="20">
        <v>1.0</v>
      </c>
      <c r="B4" s="34" t="s">
        <v>177</v>
      </c>
      <c r="C4" s="35" t="s">
        <v>179</v>
      </c>
      <c r="D4" s="21"/>
    </row>
    <row r="5" ht="27.75" customHeight="1">
      <c r="A5" s="20">
        <v>2.0</v>
      </c>
      <c r="B5" s="34" t="s">
        <v>182</v>
      </c>
      <c r="C5" s="35" t="s">
        <v>179</v>
      </c>
      <c r="D5" s="21"/>
    </row>
    <row r="6" ht="27.75" customHeight="1">
      <c r="A6" s="20">
        <v>3.0</v>
      </c>
      <c r="B6" s="34" t="s">
        <v>183</v>
      </c>
      <c r="C6" s="35" t="s">
        <v>179</v>
      </c>
      <c r="D6" s="21"/>
    </row>
    <row r="7" ht="27.75" customHeight="1">
      <c r="A7" s="20">
        <v>4.0</v>
      </c>
      <c r="B7" s="34" t="s">
        <v>186</v>
      </c>
      <c r="C7" s="35" t="s">
        <v>179</v>
      </c>
      <c r="D7" s="21"/>
    </row>
    <row r="8" ht="27.75" customHeight="1">
      <c r="A8" s="20">
        <v>5.0</v>
      </c>
      <c r="B8" s="34" t="s">
        <v>187</v>
      </c>
      <c r="C8" s="35" t="s">
        <v>188</v>
      </c>
      <c r="D8" s="21"/>
    </row>
    <row r="9" ht="27.75" customHeight="1">
      <c r="A9" s="20">
        <v>6.0</v>
      </c>
      <c r="B9" s="34" t="s">
        <v>190</v>
      </c>
      <c r="C9" s="36"/>
      <c r="D9" s="21"/>
    </row>
    <row r="10" ht="27.75" customHeight="1">
      <c r="A10" s="20">
        <v>7.0</v>
      </c>
      <c r="B10" s="34" t="s">
        <v>192</v>
      </c>
      <c r="C10" s="36"/>
      <c r="D10" s="21"/>
    </row>
    <row r="11" ht="27.75" customHeight="1">
      <c r="A11" s="20">
        <v>8.0</v>
      </c>
      <c r="B11" s="34" t="s">
        <v>194</v>
      </c>
      <c r="C11" s="36"/>
      <c r="D11" s="21"/>
    </row>
    <row r="12" ht="27.75" customHeight="1">
      <c r="A12" s="20">
        <v>9.0</v>
      </c>
      <c r="B12" s="34" t="s">
        <v>196</v>
      </c>
      <c r="C12" s="36"/>
      <c r="D12" s="21"/>
    </row>
    <row r="13" ht="27.75" customHeight="1">
      <c r="A13" s="20">
        <v>10.0</v>
      </c>
      <c r="B13" s="34" t="s">
        <v>198</v>
      </c>
      <c r="C13" s="36"/>
      <c r="D13" s="21"/>
    </row>
    <row r="14" ht="27.75" customHeight="1">
      <c r="A14" s="20">
        <v>11.0</v>
      </c>
      <c r="B14" s="34" t="s">
        <v>200</v>
      </c>
      <c r="C14" s="36"/>
      <c r="D14" s="21"/>
    </row>
    <row r="15" ht="27.75" customHeight="1">
      <c r="A15" s="20">
        <v>12.0</v>
      </c>
      <c r="B15" s="34" t="s">
        <v>202</v>
      </c>
      <c r="C15" s="36"/>
      <c r="D15" s="21"/>
    </row>
    <row r="16" ht="27.75" customHeight="1">
      <c r="A16" s="20">
        <v>13.0</v>
      </c>
      <c r="B16" s="34" t="s">
        <v>204</v>
      </c>
      <c r="C16" s="36"/>
      <c r="D16" s="21"/>
    </row>
    <row r="17" ht="27.75" customHeight="1">
      <c r="A17" s="20">
        <v>14.0</v>
      </c>
      <c r="B17" s="34" t="s">
        <v>206</v>
      </c>
      <c r="C17" s="36"/>
      <c r="D17" s="21"/>
    </row>
    <row r="18" ht="27.75" customHeight="1">
      <c r="A18" s="20">
        <v>15.0</v>
      </c>
      <c r="B18" s="34" t="s">
        <v>208</v>
      </c>
      <c r="C18" s="36"/>
      <c r="D18" s="21"/>
    </row>
    <row r="19" ht="27.75" customHeight="1">
      <c r="A19" s="20">
        <v>16.0</v>
      </c>
      <c r="B19" s="34" t="s">
        <v>209</v>
      </c>
      <c r="C19" s="36"/>
      <c r="D19" s="21"/>
    </row>
    <row r="21" ht="15.75" customHeight="1"/>
    <row r="22" ht="15.75" customHeight="1">
      <c r="B22" s="6" t="s">
        <v>211</v>
      </c>
    </row>
    <row r="23" ht="15.75" customHeight="1">
      <c r="B23" s="7" t="s">
        <v>212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qref="C4:C19">
      <formula1>"Setuju,Revisi"</formula1>
    </dataValidation>
  </dataValidations>
  <hyperlinks>
    <hyperlink display="Petunjuk" location="'00_PETUNJUK'!A1" ref="F1"/>
  </hyperlinks>
  <printOptions/>
  <pageMargins bottom="1.0" footer="0.0" header="0.0" left="0.5" right="0.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30.0"/>
    <col customWidth="1" min="4" max="4" width="34.0"/>
    <col customWidth="1" min="5" max="5" width="30.0"/>
    <col customWidth="1" min="6" max="6" width="18.0"/>
    <col customWidth="1" min="7" max="7" width="24.0"/>
    <col customWidth="1" min="8" max="26" width="8.71"/>
  </cols>
  <sheetData>
    <row r="1" ht="24.0" customHeight="1">
      <c r="A1" s="1" t="s">
        <v>225</v>
      </c>
      <c r="B1" s="2"/>
      <c r="C1" s="2"/>
      <c r="D1" s="2"/>
      <c r="E1" s="2"/>
      <c r="F1" s="2"/>
      <c r="G1" s="3"/>
      <c r="I1" s="17" t="s">
        <v>26</v>
      </c>
    </row>
    <row r="2">
      <c r="A2" s="8" t="s">
        <v>227</v>
      </c>
    </row>
    <row r="3" ht="30.0" customHeight="1">
      <c r="A3" s="9" t="s">
        <v>8</v>
      </c>
      <c r="B3" s="9" t="s">
        <v>228</v>
      </c>
      <c r="C3" s="9" t="s">
        <v>229</v>
      </c>
      <c r="D3" s="9" t="s">
        <v>230</v>
      </c>
      <c r="E3" s="9" t="s">
        <v>232</v>
      </c>
      <c r="F3" s="9" t="s">
        <v>233</v>
      </c>
      <c r="G3" s="9" t="s">
        <v>234</v>
      </c>
    </row>
    <row r="4" ht="31.5" customHeight="1">
      <c r="A4" s="41">
        <v>1.0</v>
      </c>
      <c r="B4" s="41" t="s">
        <v>235</v>
      </c>
      <c r="C4" s="41" t="s">
        <v>236</v>
      </c>
      <c r="D4" s="41" t="s">
        <v>237</v>
      </c>
      <c r="E4" s="41" t="s">
        <v>238</v>
      </c>
      <c r="F4" s="41" t="s">
        <v>239</v>
      </c>
      <c r="G4" s="41"/>
    </row>
    <row r="5" ht="27.75" customHeight="1">
      <c r="A5" s="42">
        <v>1.0</v>
      </c>
      <c r="B5" s="42"/>
      <c r="C5" s="42"/>
      <c r="D5" s="42"/>
      <c r="E5" s="42"/>
      <c r="F5" s="42"/>
      <c r="G5" s="42"/>
    </row>
    <row r="6" ht="27.75" customHeight="1">
      <c r="A6" s="42">
        <v>2.0</v>
      </c>
      <c r="B6" s="42"/>
      <c r="C6" s="42"/>
      <c r="D6" s="42"/>
      <c r="E6" s="42"/>
      <c r="F6" s="42"/>
      <c r="G6" s="42"/>
    </row>
    <row r="7" ht="27.75" customHeight="1">
      <c r="A7" s="42">
        <v>3.0</v>
      </c>
      <c r="B7" s="42"/>
      <c r="C7" s="42"/>
      <c r="D7" s="42"/>
      <c r="E7" s="42"/>
      <c r="F7" s="42"/>
      <c r="G7" s="42"/>
    </row>
    <row r="8" ht="27.75" customHeight="1">
      <c r="A8" s="42">
        <v>4.0</v>
      </c>
      <c r="B8" s="42"/>
      <c r="C8" s="42"/>
      <c r="D8" s="42"/>
      <c r="E8" s="42"/>
      <c r="F8" s="42"/>
      <c r="G8" s="42"/>
    </row>
    <row r="9" ht="27.75" customHeight="1">
      <c r="A9" s="42">
        <v>5.0</v>
      </c>
      <c r="B9" s="42"/>
      <c r="C9" s="42"/>
      <c r="D9" s="42"/>
      <c r="E9" s="42"/>
      <c r="F9" s="42"/>
      <c r="G9" s="42"/>
    </row>
    <row r="10" ht="27.75" customHeight="1">
      <c r="A10" s="42">
        <v>6.0</v>
      </c>
      <c r="B10" s="42"/>
      <c r="C10" s="42"/>
      <c r="D10" s="42"/>
      <c r="E10" s="42"/>
      <c r="F10" s="42"/>
      <c r="G10" s="42"/>
    </row>
    <row r="11" ht="27.75" customHeight="1">
      <c r="A11" s="42">
        <v>7.0</v>
      </c>
      <c r="B11" s="42"/>
      <c r="C11" s="42"/>
      <c r="D11" s="42"/>
      <c r="E11" s="42"/>
      <c r="F11" s="42"/>
      <c r="G11" s="42"/>
    </row>
    <row r="12" ht="27.75" customHeight="1">
      <c r="A12" s="42">
        <v>8.0</v>
      </c>
      <c r="B12" s="42"/>
      <c r="C12" s="42"/>
      <c r="D12" s="42"/>
      <c r="E12" s="42"/>
      <c r="F12" s="42"/>
      <c r="G12" s="42"/>
    </row>
    <row r="13" ht="27.75" customHeight="1">
      <c r="A13" s="42">
        <v>9.0</v>
      </c>
      <c r="B13" s="42"/>
      <c r="C13" s="42"/>
      <c r="D13" s="42"/>
      <c r="E13" s="42"/>
      <c r="F13" s="42"/>
      <c r="G13" s="42"/>
    </row>
    <row r="14" ht="27.75" customHeight="1">
      <c r="A14" s="42">
        <v>10.0</v>
      </c>
      <c r="B14" s="42"/>
      <c r="C14" s="42"/>
      <c r="D14" s="42"/>
      <c r="E14" s="42"/>
      <c r="F14" s="42"/>
      <c r="G14" s="42"/>
    </row>
    <row r="15" ht="27.75" customHeight="1">
      <c r="A15" s="42">
        <v>11.0</v>
      </c>
      <c r="B15" s="42"/>
      <c r="C15" s="42"/>
      <c r="D15" s="42"/>
      <c r="E15" s="42"/>
      <c r="F15" s="42"/>
      <c r="G15" s="42"/>
    </row>
    <row r="16" ht="27.75" customHeight="1">
      <c r="A16" s="42">
        <v>12.0</v>
      </c>
      <c r="B16" s="42"/>
      <c r="C16" s="42"/>
      <c r="D16" s="42"/>
      <c r="E16" s="42"/>
      <c r="F16" s="42"/>
      <c r="G16" s="42"/>
    </row>
    <row r="17" ht="27.75" customHeight="1">
      <c r="A17" s="42">
        <v>13.0</v>
      </c>
      <c r="B17" s="42"/>
      <c r="C17" s="42"/>
      <c r="D17" s="42"/>
      <c r="E17" s="42"/>
      <c r="F17" s="42"/>
      <c r="G17" s="42"/>
    </row>
    <row r="18" ht="27.75" customHeight="1">
      <c r="A18" s="42">
        <v>14.0</v>
      </c>
      <c r="B18" s="42"/>
      <c r="C18" s="42"/>
      <c r="D18" s="42"/>
      <c r="E18" s="42"/>
      <c r="F18" s="42"/>
      <c r="G18" s="42"/>
    </row>
    <row r="19" ht="27.75" customHeight="1">
      <c r="A19" s="42">
        <v>15.0</v>
      </c>
      <c r="B19" s="42"/>
      <c r="C19" s="42"/>
      <c r="D19" s="42"/>
      <c r="E19" s="42"/>
      <c r="F19" s="42"/>
      <c r="G19" s="42"/>
    </row>
    <row r="20" ht="27.75" customHeight="1">
      <c r="A20" s="42">
        <v>16.0</v>
      </c>
      <c r="B20" s="42"/>
      <c r="C20" s="42"/>
      <c r="D20" s="42"/>
      <c r="E20" s="42"/>
      <c r="F20" s="42"/>
      <c r="G20" s="42"/>
    </row>
    <row r="21" ht="27.75" customHeight="1">
      <c r="A21" s="42">
        <v>17.0</v>
      </c>
      <c r="B21" s="42"/>
      <c r="C21" s="42"/>
      <c r="D21" s="42"/>
      <c r="E21" s="42"/>
      <c r="F21" s="42"/>
      <c r="G21" s="42"/>
    </row>
    <row r="22" ht="27.75" customHeight="1">
      <c r="A22" s="42">
        <v>18.0</v>
      </c>
      <c r="B22" s="42"/>
      <c r="C22" s="42"/>
      <c r="D22" s="42"/>
      <c r="E22" s="42"/>
      <c r="F22" s="42"/>
      <c r="G22" s="42"/>
    </row>
    <row r="23" ht="27.75" customHeight="1">
      <c r="A23" s="42">
        <v>19.0</v>
      </c>
      <c r="B23" s="42"/>
      <c r="C23" s="42"/>
      <c r="D23" s="42"/>
      <c r="E23" s="42"/>
      <c r="F23" s="42"/>
      <c r="G23" s="42"/>
    </row>
    <row r="24" ht="27.75" customHeight="1">
      <c r="A24" s="42">
        <v>20.0</v>
      </c>
      <c r="B24" s="42"/>
      <c r="C24" s="42"/>
      <c r="D24" s="42"/>
      <c r="E24" s="42"/>
      <c r="F24" s="42"/>
      <c r="G24" s="42"/>
    </row>
    <row r="25" ht="27.75" customHeight="1">
      <c r="A25" s="42">
        <v>21.0</v>
      </c>
      <c r="B25" s="42"/>
      <c r="C25" s="42"/>
      <c r="D25" s="42"/>
      <c r="E25" s="42"/>
      <c r="F25" s="42"/>
      <c r="G25" s="42"/>
    </row>
    <row r="26" ht="27.75" customHeight="1">
      <c r="A26" s="42">
        <v>22.0</v>
      </c>
      <c r="B26" s="42"/>
      <c r="C26" s="42"/>
      <c r="D26" s="42"/>
      <c r="E26" s="42"/>
      <c r="F26" s="42"/>
      <c r="G26" s="42"/>
    </row>
    <row r="27" ht="27.75" customHeight="1">
      <c r="A27" s="42">
        <v>23.0</v>
      </c>
      <c r="B27" s="42"/>
      <c r="C27" s="42"/>
      <c r="D27" s="42"/>
      <c r="E27" s="42"/>
      <c r="F27" s="42"/>
      <c r="G27" s="42"/>
    </row>
    <row r="28" ht="27.75" customHeight="1">
      <c r="A28" s="42">
        <v>24.0</v>
      </c>
      <c r="B28" s="42"/>
      <c r="C28" s="42"/>
      <c r="D28" s="42"/>
      <c r="E28" s="42"/>
      <c r="F28" s="42"/>
      <c r="G28" s="42"/>
    </row>
    <row r="29" ht="27.75" customHeight="1">
      <c r="A29" s="42">
        <v>25.0</v>
      </c>
      <c r="B29" s="42"/>
      <c r="C29" s="42"/>
      <c r="D29" s="42"/>
      <c r="E29" s="42"/>
      <c r="F29" s="42"/>
      <c r="G29" s="42"/>
    </row>
    <row r="30" ht="27.75" customHeight="1">
      <c r="A30" s="42">
        <v>26.0</v>
      </c>
      <c r="B30" s="42"/>
      <c r="C30" s="42"/>
      <c r="D30" s="42"/>
      <c r="E30" s="42"/>
      <c r="F30" s="42"/>
      <c r="G30" s="42"/>
    </row>
    <row r="31" ht="27.75" customHeight="1">
      <c r="A31" s="42">
        <v>27.0</v>
      </c>
      <c r="B31" s="42"/>
      <c r="C31" s="42"/>
      <c r="D31" s="42"/>
      <c r="E31" s="42"/>
      <c r="F31" s="42"/>
      <c r="G31" s="42"/>
    </row>
    <row r="32" ht="27.75" customHeight="1">
      <c r="A32" s="42">
        <v>28.0</v>
      </c>
      <c r="B32" s="42"/>
      <c r="C32" s="42"/>
      <c r="D32" s="42"/>
      <c r="E32" s="42"/>
      <c r="F32" s="42"/>
      <c r="G32" s="42"/>
    </row>
    <row r="33" ht="27.75" customHeight="1">
      <c r="A33" s="42">
        <v>29.0</v>
      </c>
      <c r="B33" s="42"/>
      <c r="C33" s="42"/>
      <c r="D33" s="42"/>
      <c r="E33" s="42"/>
      <c r="F33" s="42"/>
      <c r="G33" s="42"/>
    </row>
    <row r="34" ht="27.75" customHeight="1">
      <c r="A34" s="42">
        <v>30.0</v>
      </c>
      <c r="B34" s="42"/>
      <c r="C34" s="42"/>
      <c r="D34" s="42"/>
      <c r="E34" s="42"/>
      <c r="F34" s="42"/>
      <c r="G34" s="42"/>
    </row>
    <row r="35" ht="27.75" customHeight="1">
      <c r="A35" s="42">
        <v>31.0</v>
      </c>
      <c r="B35" s="42"/>
      <c r="C35" s="42"/>
      <c r="D35" s="42"/>
      <c r="E35" s="42"/>
      <c r="F35" s="42"/>
      <c r="G35" s="42"/>
    </row>
    <row r="36" ht="27.75" customHeight="1">
      <c r="A36" s="42">
        <v>32.0</v>
      </c>
      <c r="B36" s="42"/>
      <c r="C36" s="42"/>
      <c r="D36" s="42"/>
      <c r="E36" s="42"/>
      <c r="F36" s="42"/>
      <c r="G36" s="42"/>
    </row>
    <row r="37" ht="27.75" customHeight="1">
      <c r="A37" s="42">
        <v>33.0</v>
      </c>
      <c r="B37" s="42"/>
      <c r="C37" s="42"/>
      <c r="D37" s="42"/>
      <c r="E37" s="42"/>
      <c r="F37" s="42"/>
      <c r="G37" s="42"/>
    </row>
    <row r="38" ht="27.75" customHeight="1">
      <c r="A38" s="42">
        <v>34.0</v>
      </c>
      <c r="B38" s="42"/>
      <c r="C38" s="42"/>
      <c r="D38" s="42"/>
      <c r="E38" s="42"/>
      <c r="F38" s="42"/>
      <c r="G38" s="42"/>
    </row>
    <row r="39" ht="27.75" customHeight="1">
      <c r="A39" s="42">
        <v>35.0</v>
      </c>
      <c r="B39" s="42"/>
      <c r="C39" s="42"/>
      <c r="D39" s="42"/>
      <c r="E39" s="42"/>
      <c r="F39" s="42"/>
      <c r="G39" s="42"/>
    </row>
    <row r="40" ht="27.75" customHeight="1">
      <c r="A40" s="42">
        <v>36.0</v>
      </c>
      <c r="B40" s="42"/>
      <c r="C40" s="42"/>
      <c r="D40" s="42"/>
      <c r="E40" s="42"/>
      <c r="F40" s="42"/>
      <c r="G40" s="42"/>
    </row>
    <row r="41" ht="27.75" customHeight="1">
      <c r="A41" s="42">
        <v>37.0</v>
      </c>
      <c r="B41" s="42"/>
      <c r="C41" s="42"/>
      <c r="D41" s="42"/>
      <c r="E41" s="42"/>
      <c r="F41" s="42"/>
      <c r="G41" s="42"/>
    </row>
    <row r="42" ht="27.75" customHeight="1">
      <c r="A42" s="42">
        <v>38.0</v>
      </c>
      <c r="B42" s="42"/>
      <c r="C42" s="42"/>
      <c r="D42" s="42"/>
      <c r="E42" s="42"/>
      <c r="F42" s="42"/>
      <c r="G42" s="42"/>
    </row>
    <row r="43" ht="27.75" customHeight="1">
      <c r="A43" s="42">
        <v>39.0</v>
      </c>
      <c r="B43" s="42"/>
      <c r="C43" s="42"/>
      <c r="D43" s="42"/>
      <c r="E43" s="42"/>
      <c r="F43" s="42"/>
      <c r="G43" s="42"/>
    </row>
    <row r="44" ht="27.75" customHeight="1">
      <c r="A44" s="42">
        <v>40.0</v>
      </c>
      <c r="B44" s="42"/>
      <c r="C44" s="42"/>
      <c r="D44" s="42"/>
      <c r="E44" s="42"/>
      <c r="F44" s="42"/>
      <c r="G44" s="42"/>
    </row>
    <row r="45" ht="27.75" customHeight="1">
      <c r="A45" s="42">
        <v>41.0</v>
      </c>
      <c r="B45" s="42"/>
      <c r="C45" s="42"/>
      <c r="D45" s="42"/>
      <c r="E45" s="42"/>
      <c r="F45" s="42"/>
      <c r="G45" s="42"/>
    </row>
    <row r="46" ht="27.75" customHeight="1">
      <c r="A46" s="42">
        <v>42.0</v>
      </c>
      <c r="B46" s="42"/>
      <c r="C46" s="42"/>
      <c r="D46" s="42"/>
      <c r="E46" s="42"/>
      <c r="F46" s="42"/>
      <c r="G46" s="42"/>
    </row>
    <row r="47" ht="27.75" customHeight="1">
      <c r="A47" s="42">
        <v>43.0</v>
      </c>
      <c r="B47" s="42"/>
      <c r="C47" s="42"/>
      <c r="D47" s="42"/>
      <c r="E47" s="42"/>
      <c r="F47" s="42"/>
      <c r="G47" s="42"/>
    </row>
    <row r="48" ht="27.75" customHeight="1">
      <c r="A48" s="42">
        <v>44.0</v>
      </c>
      <c r="B48" s="42"/>
      <c r="C48" s="42"/>
      <c r="D48" s="42"/>
      <c r="E48" s="42"/>
      <c r="F48" s="42"/>
      <c r="G48" s="42"/>
    </row>
    <row r="49" ht="27.75" customHeight="1">
      <c r="A49" s="42">
        <v>45.0</v>
      </c>
      <c r="B49" s="42"/>
      <c r="C49" s="42"/>
      <c r="D49" s="42"/>
      <c r="E49" s="42"/>
      <c r="F49" s="42"/>
      <c r="G49" s="42"/>
    </row>
    <row r="50" ht="27.75" customHeight="1">
      <c r="A50" s="42">
        <v>46.0</v>
      </c>
      <c r="B50" s="42"/>
      <c r="C50" s="42"/>
      <c r="D50" s="42"/>
      <c r="E50" s="42"/>
      <c r="F50" s="42"/>
      <c r="G50" s="42"/>
    </row>
    <row r="51" ht="27.75" customHeight="1">
      <c r="A51" s="42">
        <v>47.0</v>
      </c>
      <c r="B51" s="42"/>
      <c r="C51" s="42"/>
      <c r="D51" s="42"/>
      <c r="E51" s="42"/>
      <c r="F51" s="42"/>
      <c r="G51" s="42"/>
    </row>
    <row r="52" ht="27.75" customHeight="1">
      <c r="A52" s="42">
        <v>48.0</v>
      </c>
      <c r="B52" s="42"/>
      <c r="C52" s="42"/>
      <c r="D52" s="42"/>
      <c r="E52" s="42"/>
      <c r="F52" s="42"/>
      <c r="G52" s="42"/>
    </row>
    <row r="53" ht="27.75" customHeight="1">
      <c r="A53" s="42">
        <v>49.0</v>
      </c>
      <c r="B53" s="42"/>
      <c r="C53" s="42"/>
      <c r="D53" s="42"/>
      <c r="E53" s="42"/>
      <c r="F53" s="42"/>
      <c r="G53" s="42"/>
    </row>
    <row r="54" ht="27.75" customHeight="1">
      <c r="A54" s="42">
        <v>50.0</v>
      </c>
      <c r="B54" s="42"/>
      <c r="C54" s="42"/>
      <c r="D54" s="42"/>
      <c r="E54" s="42"/>
      <c r="F54" s="42"/>
      <c r="G54" s="42"/>
    </row>
    <row r="55" ht="27.75" customHeight="1">
      <c r="A55" s="42">
        <v>51.0</v>
      </c>
      <c r="B55" s="42"/>
      <c r="C55" s="42"/>
      <c r="D55" s="42"/>
      <c r="E55" s="42"/>
      <c r="F55" s="42"/>
      <c r="G55" s="42"/>
    </row>
    <row r="56" ht="27.75" customHeight="1">
      <c r="A56" s="42">
        <v>52.0</v>
      </c>
      <c r="B56" s="42"/>
      <c r="C56" s="42"/>
      <c r="D56" s="42"/>
      <c r="E56" s="42"/>
      <c r="F56" s="42"/>
      <c r="G56" s="42"/>
    </row>
    <row r="57" ht="27.75" customHeight="1">
      <c r="A57" s="42">
        <v>53.0</v>
      </c>
      <c r="B57" s="42"/>
      <c r="C57" s="42"/>
      <c r="D57" s="42"/>
      <c r="E57" s="42"/>
      <c r="F57" s="42"/>
      <c r="G57" s="42"/>
    </row>
    <row r="58" ht="27.75" customHeight="1">
      <c r="A58" s="42">
        <v>54.0</v>
      </c>
      <c r="B58" s="42"/>
      <c r="C58" s="42"/>
      <c r="D58" s="42"/>
      <c r="E58" s="42"/>
      <c r="F58" s="42"/>
      <c r="G58" s="42"/>
    </row>
    <row r="59" ht="27.75" customHeight="1">
      <c r="A59" s="42">
        <v>55.0</v>
      </c>
      <c r="B59" s="42"/>
      <c r="C59" s="42"/>
      <c r="D59" s="42"/>
      <c r="E59" s="42"/>
      <c r="F59" s="42"/>
      <c r="G59" s="42"/>
    </row>
    <row r="60" ht="27.75" customHeight="1">
      <c r="A60" s="42">
        <v>56.0</v>
      </c>
      <c r="B60" s="42"/>
      <c r="C60" s="42"/>
      <c r="D60" s="42"/>
      <c r="E60" s="42"/>
      <c r="F60" s="42"/>
      <c r="G60" s="42"/>
    </row>
    <row r="61" ht="27.75" customHeight="1">
      <c r="A61" s="42">
        <v>57.0</v>
      </c>
      <c r="B61" s="42"/>
      <c r="C61" s="42"/>
      <c r="D61" s="42"/>
      <c r="E61" s="42"/>
      <c r="F61" s="42"/>
      <c r="G61" s="42"/>
    </row>
    <row r="62" ht="27.75" customHeight="1">
      <c r="A62" s="42">
        <v>58.0</v>
      </c>
      <c r="B62" s="42"/>
      <c r="C62" s="42"/>
      <c r="D62" s="42"/>
      <c r="E62" s="42"/>
      <c r="F62" s="42"/>
      <c r="G62" s="42"/>
    </row>
    <row r="63" ht="27.75" customHeight="1">
      <c r="A63" s="42">
        <v>59.0</v>
      </c>
      <c r="B63" s="42"/>
      <c r="C63" s="42"/>
      <c r="D63" s="42"/>
      <c r="E63" s="42"/>
      <c r="F63" s="42"/>
      <c r="G63" s="42"/>
    </row>
    <row r="64" ht="27.75" customHeight="1">
      <c r="A64" s="42">
        <v>60.0</v>
      </c>
      <c r="B64" s="42"/>
      <c r="C64" s="42"/>
      <c r="D64" s="42"/>
      <c r="E64" s="42"/>
      <c r="F64" s="42"/>
      <c r="G64" s="4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hyperlinks>
    <hyperlink display="Petunjuk" location="'00_PETUNJUK'!A1" ref="I1"/>
  </hyperlinks>
  <printOptions/>
  <pageMargins bottom="0.5" footer="0.0" header="0.0" left="0.4" right="0.4" top="0.5"/>
  <pageSetup fitToHeight="0" paperSize="9" orientation="landscape"/>
  <drawing r:id="rId1"/>
</worksheet>
</file>